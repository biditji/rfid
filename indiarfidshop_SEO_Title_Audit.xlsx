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Issues" sheetId="2" state="visible" r:id="rId4"/>
    <sheet name="All Pages" sheetId="3" state="visible" r:id="rId5"/>
    <sheet name="Code Fixes" sheetId="4" state="visible" r:id="rId6"/>
  </sheets>
  <definedNames>
    <definedName function="false" hidden="true" localSheetId="2" name="_xlnm._FilterDatabase" vbProcedure="false">'All Pages'!$A$1:$K$50</definedName>
    <definedName function="false" hidden="true" localSheetId="1" name="_xlnm._FilterDatabase" vbProcedure="false">Issues!$A$1:$O$74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<sst xmlns="http://schemas.openxmlformats.org/spreadsheetml/2006/main" count="1088" uniqueCount="433">
  <si>
    <t xml:space="preserve">indiarfidshop.com – Title Tag &amp; On-Page SEO Audit</t>
  </si>
  <si>
    <t xml:space="preserve">Audit date: 7 Oct 2026 · Source: live pages fetched from indiarfidshop.com (all 49 sitemap URLs)</t>
  </si>
  <si>
    <t xml:space="preserve">Headline numbers</t>
  </si>
  <si>
    <t xml:space="preserve">Pages audited</t>
  </si>
  <si>
    <t xml:space="preserve">Pages with missing title</t>
  </si>
  <si>
    <t xml:space="preserve">Pages needing a fix</t>
  </si>
  <si>
    <t xml:space="preserve">Pages with brand twice</t>
  </si>
  <si>
    <t xml:space="preserve">Pages with duplicate titles</t>
  </si>
  <si>
    <t xml:space="preserve">Pages with titles over 60 chars</t>
  </si>
  <si>
    <t xml:space="preserve">Total issues logged</t>
  </si>
  <si>
    <t xml:space="preserve">Issues still open</t>
  </si>
  <si>
    <t xml:space="preserve">Issues by problem</t>
  </si>
  <si>
    <t xml:space="preserve">Total</t>
  </si>
  <si>
    <t xml:space="preserve">High</t>
  </si>
  <si>
    <t xml:space="preserve">Medium</t>
  </si>
  <si>
    <t xml:space="preserve">Low</t>
  </si>
  <si>
    <t xml:space="preserve">Duplicate brand in title</t>
  </si>
  <si>
    <t xml:space="preserve">Generic title – no keywords</t>
  </si>
  <si>
    <t xml:space="preserve">Duplicate title across category pages</t>
  </si>
  <si>
    <t xml:space="preserve">Title is only model name – no keywords</t>
  </si>
  <si>
    <t xml:space="preserve">Spammy / question-style title</t>
  </si>
  <si>
    <t xml:space="preserve">Model number missing from title</t>
  </si>
  <si>
    <t xml:space="preserve">Canonical tag missing</t>
  </si>
  <si>
    <t xml:space="preserve">Typo in category URL</t>
  </si>
  <si>
    <t xml:space="preserve">H1 contains '|' / brand text</t>
  </si>
  <si>
    <t xml:space="preserve">Weak meta description</t>
  </si>
  <si>
    <t xml:space="preserve">Generic og:title (social share title)</t>
  </si>
  <si>
    <t xml:space="preserve">Generic twitter:title / twitter:description</t>
  </si>
  <si>
    <t xml:space="preserve">Page content not visible to crawlers</t>
  </si>
  <si>
    <t xml:space="preserve">H1 does not match page</t>
  </si>
  <si>
    <t xml:space="preserve">Title too long (&gt; 60 characters)</t>
  </si>
  <si>
    <t xml:space="preserve">Weak title wording</t>
  </si>
  <si>
    <t xml:space="preserve">H1 does not match title</t>
  </si>
  <si>
    <t xml:space="preserve">How to use this workbook</t>
  </si>
  <si>
    <t xml:space="preserve">• Issues: one row per problem per page, sorted High → Low. Work top-down.</t>
  </si>
  <si>
    <t xml:space="preserve">• Edit only the yellow columns (Status, Owner, Notes). Status: Open / In Progress / Fixed / Verified.</t>
  </si>
  <si>
    <t xml:space="preserve">• 'Suggested Value' = what to type in your admin panel. Titles are entered WITHOUT '| Virtualsphere' – the site adds it (see Final Title column).</t>
  </si>
  <si>
    <t xml:space="preserve">• All Pages: every sitemap URL with its live title and automatic checks (length, brand count, duplicates).</t>
  </si>
  <si>
    <t xml:space="preserve">• Code Fixes: the Next.js changes that fix most issues in one deploy (fixes 1, 2 and 4 cover ~30 pages).</t>
  </si>
  <si>
    <t xml:space="preserve">• No page is missing a title tag – the problems are duplicates, missing keywords and length.</t>
  </si>
  <si>
    <t xml:space="preserve">ID</t>
  </si>
  <si>
    <t xml:space="preserve">Priority</t>
  </si>
  <si>
    <t xml:space="preserve">Page Type</t>
  </si>
  <si>
    <t xml:space="preserve">Page Name</t>
  </si>
  <si>
    <t xml:space="preserve">Page URL</t>
  </si>
  <si>
    <t xml:space="preserve">Problem</t>
  </si>
  <si>
    <t xml:space="preserve">Current Value</t>
  </si>
  <si>
    <t xml:space="preserve">Problem Details</t>
  </si>
  <si>
    <t xml:space="preserve">Fix Steps</t>
  </si>
  <si>
    <t xml:space="preserve">Suggested Value (enter in admin)</t>
  </si>
  <si>
    <t xml:space="preserve">Final Title in Google</t>
  </si>
  <si>
    <t xml:space="preserve">Final Title Length</t>
  </si>
  <si>
    <t xml:space="preserve">Status</t>
  </si>
  <si>
    <t xml:space="preserve">Owner</t>
  </si>
  <si>
    <t xml:space="preserve">Notes</t>
  </si>
  <si>
    <t xml:space="preserve">T001</t>
  </si>
  <si>
    <t xml:space="preserve">Home</t>
  </si>
  <si>
    <t xml:space="preserve">Homepage</t>
  </si>
  <si>
    <t xml:space="preserve">https://indiarfidshop.com/</t>
  </si>
  <si>
    <t xml:space="preserve">Virtualsphere — Enterprise RFID Solutions | Virtualsphere</t>
  </si>
  <si>
    <t xml:space="preserve">'Virtualsphere' appears twice. Google sees repeated words; wastes title space.</t>
  </si>
  <si>
    <t xml:space="preserve">1) Set this page's metadata title to the Suggested Title only (no brand) – the layout template adds ' | Virtualsphere'.
2) For the homepage use title: { absolute: '&lt;full title&gt;' } so the template is not added twice.
3) Deploy and confirm the brand appears once in page source.</t>
  </si>
  <si>
    <t xml:space="preserve">RFID Readers, Tags &amp; Antennas in India | Virtualsphere</t>
  </si>
  <si>
    <t xml:space="preserve">Open</t>
  </si>
  <si>
    <t xml:space="preserve">T002</t>
  </si>
  <si>
    <t xml:space="preserve">Homepage title has no product keywords (RFID reader, tags, antenna) and no 'India'; homepage is your strongest page for ranking.</t>
  </si>
  <si>
    <t xml:space="preserve">1) Set a page-specific metadata title (Suggested Title) in this page's page.tsx.
2) Include what the page offers + a keyword (RFID readers, tags, India).
3) Deploy and verify in page source.</t>
  </si>
  <si>
    <t xml:space="preserve">T003</t>
  </si>
  <si>
    <t xml:space="preserve">Category</t>
  </si>
  <si>
    <t xml:space="preserve">Barcode Printers</t>
  </si>
  <si>
    <t xml:space="preserve">https://indiarfidshop.com/products?category=barcode-printers</t>
  </si>
  <si>
    <t xml:space="preserve">Products | Virtualsphere</t>
  </si>
  <si>
    <t xml:space="preserve">All 13 category pages share the title 'Products | Virtualsphere' (and the same meta description). Google treats them as duplicates and none ranks for 'Barcode Printers'. Verified live on handheld-reader and raid-tags; same template for all categories.</t>
  </si>
  <si>
    <t xml:space="preserve">1) In app/products/page.tsx add generateMetadata({ searchParams }) that reads ?category=, looks up the category name and returns title: category ? &lt;Suggested Title&gt; : 'Buy RFID Readers, Tags &amp; Antennas Online'.
2) Also return a matching meta description (use the category description) and canonical /products?category=&lt;slug&gt;.
3) Deploy and check page source for each category URL.</t>
  </si>
  <si>
    <t xml:space="preserve">T004</t>
  </si>
  <si>
    <t xml:space="preserve">UHF Integrated Reader</t>
  </si>
  <si>
    <t xml:space="preserve">https://indiarfidshop.com/products?category=integrated-reader</t>
  </si>
  <si>
    <t xml:space="preserve">All 13 category pages share the title 'Products | Virtualsphere' (and the same meta description). Google treats them as duplicates and none ranks for 'UHF Integrated Reader'. Verified live on handheld-reader and raid-tags; same template for all categories.</t>
  </si>
  <si>
    <t xml:space="preserve">UHF Integrated RFID Readers</t>
  </si>
  <si>
    <t xml:space="preserve">T005</t>
  </si>
  <si>
    <t xml:space="preserve">Four Port UHF Reader</t>
  </si>
  <si>
    <t xml:space="preserve">https://indiarfidshop.com/products?category=four-port-reader</t>
  </si>
  <si>
    <t xml:space="preserve">All 13 category pages share the title 'Products | Virtualsphere' (and the same meta description). Google treats them as duplicates and none ranks for 'Four Port UHF Reader'. Verified live on handheld-reader and raid-tags; same template for all categories.</t>
  </si>
  <si>
    <t xml:space="preserve">4-Port UHF RFID Fixed Readers</t>
  </si>
  <si>
    <t xml:space="preserve">T006</t>
  </si>
  <si>
    <t xml:space="preserve">RFID Tags</t>
  </si>
  <si>
    <t xml:space="preserve">https://indiarfidshop.com/products?category=raid-tags</t>
  </si>
  <si>
    <t xml:space="preserve">All 13 category pages share the title 'Products | Virtualsphere' (and the same meta description). Google treats them as duplicates and none ranks for 'RFID Tags'. Verified live on handheld-reader and raid-tags; same template for all categories.</t>
  </si>
  <si>
    <t xml:space="preserve">RFID Tags – UHF, HF &amp; On-Metal</t>
  </si>
  <si>
    <t xml:space="preserve">T007</t>
  </si>
  <si>
    <t xml:space="preserve">RFID UHF Labels</t>
  </si>
  <si>
    <t xml:space="preserve">https://indiarfidshop.com/products?category=Rfid-uhf-label-tags</t>
  </si>
  <si>
    <t xml:space="preserve">All 13 category pages share the title 'Products | Virtualsphere' (and the same meta description). Google treats them as duplicates and none ranks for 'RFID UHF Labels'. Verified live on handheld-reader and raid-tags; same template for all categories.</t>
  </si>
  <si>
    <t xml:space="preserve">UHF RFID Labels</t>
  </si>
  <si>
    <t xml:space="preserve">T008</t>
  </si>
  <si>
    <t xml:space="preserve">RFID Laundry Tags</t>
  </si>
  <si>
    <t xml:space="preserve">https://indiarfidshop.com/products?category=rfid-laundary-tags</t>
  </si>
  <si>
    <t xml:space="preserve">All 13 category pages share the title 'Products | Virtualsphere' (and the same meta description). Google treats them as duplicates and none ranks for 'RFID Laundry Tags'. Verified live on handheld-reader and raid-tags; same template for all categories.</t>
  </si>
  <si>
    <t xml:space="preserve">T009</t>
  </si>
  <si>
    <t xml:space="preserve">RFID UHF Inlay</t>
  </si>
  <si>
    <t xml:space="preserve">https://indiarfidshop.com/products?category=rfid-uhf-inlay</t>
  </si>
  <si>
    <t xml:space="preserve">All 13 category pages share the title 'Products | Virtualsphere' (and the same meta description). Google treats them as duplicates and none ranks for 'RFID UHF Inlay'. Verified live on handheld-reader and raid-tags; same template for all categories.</t>
  </si>
  <si>
    <t xml:space="preserve">UHF RFID Inlays – Dry &amp; Wet</t>
  </si>
  <si>
    <t xml:space="preserve">T010</t>
  </si>
  <si>
    <t xml:space="preserve">UHF RFID Tags</t>
  </si>
  <si>
    <t xml:space="preserve">https://indiarfidshop.com/products?category=uhf-rfid-tags</t>
  </si>
  <si>
    <t xml:space="preserve">All 13 category pages share the title 'Products | Virtualsphere' (and the same meta description). Google treats them as duplicates and none ranks for 'UHF RFID Tags'. Verified live on handheld-reader and raid-tags; same template for all categories.</t>
  </si>
  <si>
    <t xml:space="preserve">UHF RFID ABS Hard Tags</t>
  </si>
  <si>
    <t xml:space="preserve">T011</t>
  </si>
  <si>
    <t xml:space="preserve">RFID UHF Antenna</t>
  </si>
  <si>
    <t xml:space="preserve">https://indiarfidshop.com/products?category=rfid-uhf-antenna</t>
  </si>
  <si>
    <t xml:space="preserve">All 13 category pages share the title 'Products | Virtualsphere' (and the same meta description). Google treats them as duplicates and none ranks for 'RFID UHF Antenna'. Verified live on handheld-reader and raid-tags; same template for all categories.</t>
  </si>
  <si>
    <t xml:space="preserve">UHF RFID Antennas</t>
  </si>
  <si>
    <t xml:space="preserve">T012</t>
  </si>
  <si>
    <t xml:space="preserve">RFID Handheld Reader</t>
  </si>
  <si>
    <t xml:space="preserve">https://indiarfidshop.com/products?category=handheld-reader</t>
  </si>
  <si>
    <t xml:space="preserve">All 13 category pages share the title 'Products | Virtualsphere' (and the same meta description). Google treats them as duplicates and none ranks for 'RFID Handheld Reader'. Verified live on handheld-reader and raid-tags; same template for all categories.</t>
  </si>
  <si>
    <t xml:space="preserve">UHF RFID Handheld Readers</t>
  </si>
  <si>
    <t xml:space="preserve">T013</t>
  </si>
  <si>
    <t xml:space="preserve">UHF Desktop Reader</t>
  </si>
  <si>
    <t xml:space="preserve">https://indiarfidshop.com/products?category=uhf-desktop-reader</t>
  </si>
  <si>
    <t xml:space="preserve">All 13 category pages share the title 'Products | Virtualsphere' (and the same meta description). Google treats them as duplicates and none ranks for 'UHF Desktop Reader'. Verified live on handheld-reader and raid-tags; same template for all categories.</t>
  </si>
  <si>
    <t xml:space="preserve">UHF RFID Desktop Readers &amp; Writers</t>
  </si>
  <si>
    <t xml:space="preserve">T014</t>
  </si>
  <si>
    <t xml:space="preserve">HF RFID Reader</t>
  </si>
  <si>
    <t xml:space="preserve">https://indiarfidshop.com/products?category=hf-rfid-desktop-reader</t>
  </si>
  <si>
    <t xml:space="preserve">All 13 category pages share the title 'Products | Virtualsphere' (and the same meta description). Google treats them as duplicates and none ranks for 'HF RFID Reader'. Verified live on handheld-reader and raid-tags; same template for all categories.</t>
  </si>
  <si>
    <t xml:space="preserve">HF 13.56 MHz RFID Readers</t>
  </si>
  <si>
    <t xml:space="preserve">T015</t>
  </si>
  <si>
    <t xml:space="preserve">RFID LF and HF Pendrive Reader</t>
  </si>
  <si>
    <t xml:space="preserve">https://indiarfidshop.com/products?category=rfid-lf-and-hf-pendrive-reader</t>
  </si>
  <si>
    <t xml:space="preserve">All 13 category pages share the title 'Products | Virtualsphere' (and the same meta description). Google treats them as duplicates and none ranks for 'RFID LF and HF Pendrive Reader'. Verified live on handheld-reader and raid-tags; same template for all categories.</t>
  </si>
  <si>
    <t xml:space="preserve">LF &amp; HF RFID USB Pendrive Readers</t>
  </si>
  <si>
    <t xml:space="preserve">T016</t>
  </si>
  <si>
    <t xml:space="preserve">Product</t>
  </si>
  <si>
    <t xml:space="preserve">Desktop Barcode Printer</t>
  </si>
  <si>
    <t xml:space="preserve">https://indiarfidshop.com/products/desktop-barcode-printer</t>
  </si>
  <si>
    <t xml:space="preserve">Desktop Barcode Printer | Virtualsphere | Virtualsphere</t>
  </si>
  <si>
    <t xml:space="preserve">Title ends with '| Virtualsphere | Virtualsphere'. Caused by product page code adding the brand AND the layout template adding it again.</t>
  </si>
  <si>
    <t xml:space="preserve">1) In app/products/[slug]/page.tsx (generateMetadata), strip the brand from the stored title: title: clean(product.seoTitle || product.name) where clean = t =&gt; t.replace(/\s*\|\s*Virtualsphere\s*$/i, '').
2) Keep the brand only in the layout template: title.template = '%s | Virtualsphere'.
3) In the admin panel, enter the Suggested Title WITHOUT '| Virtualsphere'.
4) Deploy, then view page source and confirm the brand appears once.</t>
  </si>
  <si>
    <t xml:space="preserve">Desktop Barcode Label Printer</t>
  </si>
  <si>
    <t xml:space="preserve">T017</t>
  </si>
  <si>
    <t xml:space="preserve">HRD 13</t>
  </si>
  <si>
    <t xml:space="preserve">https://indiarfidshop.com/products/hrd-13</t>
  </si>
  <si>
    <t xml:space="preserve">HRD 13 | Virtualsphere | Virtualsphere</t>
  </si>
  <si>
    <t xml:space="preserve">HRD 13 HF 13.56MHz USB Desktop RFID Reader</t>
  </si>
  <si>
    <t xml:space="preserve">T018</t>
  </si>
  <si>
    <t xml:space="preserve">LRP 70 Pendrive Reader</t>
  </si>
  <si>
    <t xml:space="preserve">https://indiarfidshop.com/products/lrp-70-pendrive-reader</t>
  </si>
  <si>
    <t xml:space="preserve">LRP 70 Pendrive Reader | Virtualsphere | Virtualsphere</t>
  </si>
  <si>
    <t xml:space="preserve">LRP 70 125KHz LF RFID USB Pendrive Reader</t>
  </si>
  <si>
    <t xml:space="preserve">T019</t>
  </si>
  <si>
    <t xml:space="preserve">UA9</t>
  </si>
  <si>
    <t xml:space="preserve">https://indiarfidshop.com/products/ua9</t>
  </si>
  <si>
    <t xml:space="preserve">UA9 | Virtualsphere | Virtualsphere</t>
  </si>
  <si>
    <t xml:space="preserve">UA9 9dBi Circular UHF RFID Antenna, IP67</t>
  </si>
  <si>
    <t xml:space="preserve">T020</t>
  </si>
  <si>
    <t xml:space="preserve">UCA3</t>
  </si>
  <si>
    <t xml:space="preserve">https://indiarfidshop.com/products/uca3</t>
  </si>
  <si>
    <t xml:space="preserve">UCA3 | Virtualsphere | Virtualsphere</t>
  </si>
  <si>
    <t xml:space="preserve">UCA3 3dBi Ceramic UHF RFID Patch Antenna</t>
  </si>
  <si>
    <t xml:space="preserve">T021</t>
  </si>
  <si>
    <t xml:space="preserve">UDR-W101</t>
  </si>
  <si>
    <t xml:space="preserve">https://indiarfidshop.com/products/udr-w101-uhf-rfid-desktop-reader-writer</t>
  </si>
  <si>
    <t xml:space="preserve">UDR-W101 RFID Desktop Reader &amp; Writer | Virtualsphere | Virtualsphere</t>
  </si>
  <si>
    <t xml:space="preserve">UDR-W101 UHF RFID Desktop Reader &amp; Writer</t>
  </si>
  <si>
    <t xml:space="preserve">T022</t>
  </si>
  <si>
    <t xml:space="preserve">UDT9R Jewellery Tray Reader</t>
  </si>
  <si>
    <t xml:space="preserve">https://indiarfidshop.com/products/udt9r-rfid-jewellery-tray-reader</t>
  </si>
  <si>
    <t xml:space="preserve">UDT9R RFID Jewellery Tray Reader | Virtualsphere | Virtualsphere</t>
  </si>
  <si>
    <t xml:space="preserve">UDT9R RFID Jewellery Tray Reader, Bluetooth</t>
  </si>
  <si>
    <t xml:space="preserve">T023</t>
  </si>
  <si>
    <t xml:space="preserve">UHR2</t>
  </si>
  <si>
    <t xml:space="preserve">https://indiarfidshop.com/products/uhr2-uhf-rfid-handheld-reader</t>
  </si>
  <si>
    <t xml:space="preserve">UHR2 UHF RFID Handheld Reader | Virtualsphere | Virtualsphere</t>
  </si>
  <si>
    <t xml:space="preserve">UHR2 Android UHF RFID Handheld Reader, 20m</t>
  </si>
  <si>
    <t xml:space="preserve">T024</t>
  </si>
  <si>
    <t xml:space="preserve">VST-9662 Inlay</t>
  </si>
  <si>
    <t xml:space="preserve">https://indiarfidshop.com/products/vst-9662-rfid-uhf-inlay-higgs-3</t>
  </si>
  <si>
    <t xml:space="preserve">VST-9662 RFID UHF Inlay | Higgs-3 Tag | Virtualsphere | Virtualsphere</t>
  </si>
  <si>
    <t xml:space="preserve">VST-9662 UHF RFID Inlay, Alien Higgs-3</t>
  </si>
  <si>
    <t xml:space="preserve">T025</t>
  </si>
  <si>
    <t xml:space="preserve">PBR3</t>
  </si>
  <si>
    <t xml:space="preserve">https://indiarfidshop.com/products/pbr3-bluetooth-uhf-rfid-portable-reader</t>
  </si>
  <si>
    <t xml:space="preserve">PBR3 Bluetooth UHF RFID Portable Reader | Virtualsphere | Virtualsphere</t>
  </si>
  <si>
    <t xml:space="preserve">PBR3 Bluetooth UHF RFID Portable Reader</t>
  </si>
  <si>
    <t xml:space="preserve">T026</t>
  </si>
  <si>
    <t xml:space="preserve">UA12</t>
  </si>
  <si>
    <t xml:space="preserve">https://indiarfidshop.com/products/ua12</t>
  </si>
  <si>
    <t xml:space="preserve">UA12 UHF 12DBI RFID Circular Antenna, 870 MHz | Virtualsphere | Virtualsphere</t>
  </si>
  <si>
    <t xml:space="preserve">UA12 12dBi Circular UHF RFID Antenna</t>
  </si>
  <si>
    <t xml:space="preserve">T027</t>
  </si>
  <si>
    <t xml:space="preserve">UHR 5</t>
  </si>
  <si>
    <t xml:space="preserve">https://indiarfidshop.com/products/uhr-5</t>
  </si>
  <si>
    <t xml:space="preserve">Are you Looking for the best UHR 5 Handheld Reader | Virtualsphere | Virtualsphere</t>
  </si>
  <si>
    <t xml:space="preserve">UHR 5 UHF RFID Handheld Reader with NFC</t>
  </si>
  <si>
    <t xml:space="preserve">T028</t>
  </si>
  <si>
    <t xml:space="preserve">Title is just the model code; nobody searches 'UCA3'/'UA9' – they search 'UHF RFID antenna', 'HF RFID reader'.</t>
  </si>
  <si>
    <t xml:space="preserve">1) In the admin panel, replace the SEO title with the Suggested Title (model + product type + key spec).
2) Keep the main keyword (e.g. 'UHF RFID Antenna', 'RFID Reader') near the start.
3) Keep the final title ≤ 60 characters (see Final Length column).</t>
  </si>
  <si>
    <t xml:space="preserve">T029</t>
  </si>
  <si>
    <t xml:space="preserve">T030</t>
  </si>
  <si>
    <t xml:space="preserve">T031</t>
  </si>
  <si>
    <t xml:space="preserve">T032</t>
  </si>
  <si>
    <t xml:space="preserve">'Are you Looking for the best UHR 5 Handheld Reader' looks like clickbait; Google often rewrites such titles. Also too long.</t>
  </si>
  <si>
    <t xml:space="preserve">1) In the admin panel, replace the question-style title with the Suggested Title.
2) Avoid phrases like 'Are you looking for the best' – Google may rewrite or ignore such titles.
3) Verify final title ≤ 60 characters.</t>
  </si>
  <si>
    <t xml:space="preserve">T033</t>
  </si>
  <si>
    <t xml:space="preserve">UDR 102</t>
  </si>
  <si>
    <t xml:space="preserve">https://indiarfidshop.com/products/udr-102</t>
  </si>
  <si>
    <t xml:space="preserve">RFID Desktop Reader | RFID Reader &amp; Writer | 3-5 Mtrs range | Virtualsphere</t>
  </si>
  <si>
    <t xml:space="preserve">Title 'RFID Desktop Reader | RFID Reader &amp; Writer | 3-5 Mtrs range' never mentions 'UDR 102'. Also repeats 'RFID Reader' and is too long.</t>
  </si>
  <si>
    <t xml:space="preserve">1) In the admin panel, put the model number first: use the Suggested Title.
2) Buyers search by model (e.g. 'UDR 102'); the current title doesn't contain it.
3) Verify final title ≤ 60 characters.</t>
  </si>
  <si>
    <t xml:space="preserve">UDR 102 UHF RFID Desktop Reader &amp; Writer</t>
  </si>
  <si>
    <t xml:space="preserve">T034</t>
  </si>
  <si>
    <t xml:space="preserve">Sitewide</t>
  </si>
  <si>
    <t xml:space="preserve">All pages</t>
  </si>
  <si>
    <t xml:space="preserve">No &lt;link rel="canonical"&gt; or og:url found on any page checked. Risk of duplicate URLs (case variants, ?sort=, ?search=) splitting ranking.</t>
  </si>
  <si>
    <t xml:space="preserve">1) In app/layout.tsx set metadataBase: new URL('https://indiarfidshop.com').
2) In each page's metadata add alternates: { canonical: '&lt;path&gt;' } (products: /products/&lt;db slug&gt;; categories: /products?category=&lt;slug&gt;).
3) Do NOT set a fixed canonical in the layout.
4) Verify with URL Inspection → 'User-declared canonical'.</t>
  </si>
  <si>
    <t xml:space="preserve">T035</t>
  </si>
  <si>
    <t xml:space="preserve">Main</t>
  </si>
  <si>
    <t xml:space="preserve">Products</t>
  </si>
  <si>
    <t xml:space="preserve">https://indiarfidshop.com/products</t>
  </si>
  <si>
    <t xml:space="preserve">'Products' tells Google nothing about what you sell.</t>
  </si>
  <si>
    <t xml:space="preserve">Buy RFID Readers, Tags &amp; Antennas Online</t>
  </si>
  <si>
    <t xml:space="preserve">T036</t>
  </si>
  <si>
    <t xml:space="preserve">Privacy Policy</t>
  </si>
  <si>
    <t xml:space="preserve">https://indiarfidshop.com/privacy</t>
  </si>
  <si>
    <t xml:space="preserve">Privacy Policy - Virtualsphere | Virtualsphere</t>
  </si>
  <si>
    <t xml:space="preserve">'Privacy Policy - Virtualsphere | Virtualsphere' – brand twice.</t>
  </si>
  <si>
    <t xml:space="preserve">T037</t>
  </si>
  <si>
    <t xml:space="preserve">Terms &amp; Conditions</t>
  </si>
  <si>
    <t xml:space="preserve">https://indiarfidshop.com/terms</t>
  </si>
  <si>
    <t xml:space="preserve">Terms &amp; Conditions - Virtualsphere | Virtualsphere</t>
  </si>
  <si>
    <t xml:space="preserve">'Terms &amp; Conditions - Virtualsphere | Virtualsphere' – brand twice.</t>
  </si>
  <si>
    <t xml:space="preserve">T038</t>
  </si>
  <si>
    <t xml:space="preserve">Slug 'raid-tags' should be 'rfid-tags' – keyword in URL is misspelled.</t>
  </si>
  <si>
    <t xml:space="preserve">1) Rename the category slug in admin (raid-tags → rfid-tags; rfid-laundary-tags → rfid-laundry-tags).
2) Add a 301 redirect from the old URL to the new URL (next.config.js redirects()).
3) Update all internal links and the sitemap.xml entry, then resubmit the sitemap in Search Console.</t>
  </si>
  <si>
    <t xml:space="preserve">https://indiarfidshop.com/products?category=rfid-tags</t>
  </si>
  <si>
    <t xml:space="preserve">T039</t>
  </si>
  <si>
    <t xml:space="preserve">Slug 'laundary' should be 'laundry' (also in the 'RFID Laundary Tags' category name).</t>
  </si>
  <si>
    <t xml:space="preserve">https://indiarfidshop.com/products?category=rfid-laundry-tags</t>
  </si>
  <si>
    <t xml:space="preserve">T040</t>
  </si>
  <si>
    <t xml:space="preserve">(see Problem Details)</t>
  </si>
  <si>
    <t xml:space="preserve">The visible H1 heading includes pipe text such as '| Virtualsphere' – headings should be the clean product name.</t>
  </si>
  <si>
    <t xml:space="preserve">1) In the admin panel, set the product display name (H1) to the clean product name without '| Virtualsphere' or other pipe text.
2) If H1 and SEO title share one field, add a separate 'SEO Title' field so H1 stays clean.
3) Deploy and check that the page has exactly one H1.</t>
  </si>
  <si>
    <t xml:space="preserve">UDR-W101 RFID Desktop Reader &amp; Writer</t>
  </si>
  <si>
    <t xml:space="preserve">T041</t>
  </si>
  <si>
    <t xml:space="preserve">UDT9R RFID Jewellery Tray Reader</t>
  </si>
  <si>
    <t xml:space="preserve">T042</t>
  </si>
  <si>
    <t xml:space="preserve">UHR2 UHF RFID Handheld Reader</t>
  </si>
  <si>
    <t xml:space="preserve">T043</t>
  </si>
  <si>
    <t xml:space="preserve">VSL-F2</t>
  </si>
  <si>
    <t xml:space="preserve">https://indiarfidshop.com/products/vsl-f2-uhf-rfid-4-port-reader</t>
  </si>
  <si>
    <t xml:space="preserve">VSL-F2 UHF RFID 4 Port Reader – Impinj E710</t>
  </si>
  <si>
    <t xml:space="preserve">T044</t>
  </si>
  <si>
    <t xml:space="preserve">UHR 72</t>
  </si>
  <si>
    <t xml:space="preserve">https://indiarfidshop.com/products/uhr-72</t>
  </si>
  <si>
    <t xml:space="preserve">Meta description = title copy only ('RFID Handheld Reader | UHR 72').</t>
  </si>
  <si>
    <t xml:space="preserve">1) In the admin panel, replace the meta description with the Suggested Value (140–160 characters).
2) Include model, 2–3 key specs and the use case; don't repeat the title.
3) Deploy and verify &lt;meta name="description"&gt; in page source.</t>
  </si>
  <si>
    <t xml:space="preserve">Buy the UHR 72 UHF RFID handheld reader – EPC Gen2 / ISO 18000-6C with Gen2v2 authentication. Ideal for inventory, warehouse and asset tracking.</t>
  </si>
  <si>
    <t xml:space="preserve">T045</t>
  </si>
  <si>
    <t xml:space="preserve">UDM9R</t>
  </si>
  <si>
    <t xml:space="preserve">https://indiarfidshop.com/products/udm9r-Integrated-reader</t>
  </si>
  <si>
    <t xml:space="preserve">Too short (≈75 chars), no specs.</t>
  </si>
  <si>
    <t xml:space="preserve">UDM9R long range integrated UHF RFID reader with Impinj E310, 9dBi antenna, up to 15 m range, IP68, RS232, RJ45, Wiegand &amp; GPIO interfaces.</t>
  </si>
  <si>
    <t xml:space="preserve">T046</t>
  </si>
  <si>
    <t xml:space="preserve">UDM12R</t>
  </si>
  <si>
    <t xml:space="preserve">https://indiarfidshop.com/products/udm12r-uhf-Integrated-reader</t>
  </si>
  <si>
    <t xml:space="preserve">Too short (≈76 chars), no specs.</t>
  </si>
  <si>
    <t xml:space="preserve">UDM12R Impinj-based integrated UHF RFID reader, EPC Gen2 V2, read range up to 20 m, RS232, RJ45 &amp; GPIO – for access control, logistics &amp; assets.</t>
  </si>
  <si>
    <t xml:space="preserve">T047</t>
  </si>
  <si>
    <t xml:space="preserve">UDR 107</t>
  </si>
  <si>
    <t xml:space="preserve">https://indiarfidshop.com/products/udr-107</t>
  </si>
  <si>
    <t xml:space="preserve">Too short and unclear ('10-15mtrs Reader Long range desktop operating reader').</t>
  </si>
  <si>
    <t xml:space="preserve">UDR 107 long range UHF RFID desktop reader with 10–15 m read range for gates, counters and inventory points. Easy integration with your software.</t>
  </si>
  <si>
    <t xml:space="preserve">T048</t>
  </si>
  <si>
    <t xml:space="preserve">HRP 70 Pendrive Reader</t>
  </si>
  <si>
    <t xml:space="preserve">https://indiarfidshop.com/products/hrp-70-pendrive-reader</t>
  </si>
  <si>
    <t xml:space="preserve">Keyword list, not a sentence ('RFID Pendrive Reader | 13.56Mhz Reader | Portable Reader').</t>
  </si>
  <si>
    <t xml:space="preserve">HRP 70 driver-free 13.56MHz HF RFID USB pendrive reader, up to 80 mm range, IP65. Plug-and-play for access cards, attendance and NFC tags.</t>
  </si>
  <si>
    <t xml:space="preserve">T049</t>
  </si>
  <si>
    <t xml:space="preserve">Too long (≈280 chars) – Google cuts it at ~160.</t>
  </si>
  <si>
    <t xml:space="preserve">UDR 102 UHF RFID desktop reader &amp; writer with 3–5 m range for POS, registration and inventory. Works with Windows, iOS, Android and Linux.</t>
  </si>
  <si>
    <t xml:space="preserve">T050</t>
  </si>
  <si>
    <t xml:space="preserve">All main pages + categories</t>
  </si>
  <si>
    <t xml:space="preserve">og:title is 'Virtualsphere — Enterprise RFID Solutions' on home, products, categories, about, contact, privacy, terms and category pages – WhatsApp/LinkedIn shares all look the same.</t>
  </si>
  <si>
    <t xml:space="preserve">1) In each page's metadata set openGraph: { title: &lt;same as page title&gt;, url: &lt;path&gt; }.
2) Deploy and test a link in WhatsApp or LinkedIn Post Inspector.</t>
  </si>
  <si>
    <t xml:space="preserve">T051</t>
  </si>
  <si>
    <t xml:space="preserve">All product pages</t>
  </si>
  <si>
    <t xml:space="preserve">Seen on UDM9R: twitter:title = 'Virtualsphere — Enterprise RFID Solutions' instead of the product name.</t>
  </si>
  <si>
    <t xml:space="preserve">1) In product generateMetadata add twitter: { title: &lt;product title&gt;, description: &lt;meta description&gt;, images: [&lt;product image&gt;] }.
2) Deploy and verify in page source.</t>
  </si>
  <si>
    <t xml:space="preserve">T052</t>
  </si>
  <si>
    <t xml:space="preserve">Privacy page text was not found in the server HTML (only header/footer).</t>
  </si>
  <si>
    <t xml:space="preserve">1) Render the policy text on the server (no client-only fetch) or add it as static content.
2) Verify with URL Inspection → View crawled page.</t>
  </si>
  <si>
    <t xml:space="preserve">T053</t>
  </si>
  <si>
    <t xml:space="preserve">Terms page text was not found in the server HTML (only header/footer).</t>
  </si>
  <si>
    <t xml:space="preserve">1) Render the terms text on the server (no client-only fetch) or add it as static content.
2) Verify with URL Inspection → View crawled page.</t>
  </si>
  <si>
    <t xml:space="preserve">T054</t>
  </si>
  <si>
    <t xml:space="preserve">Categories</t>
  </si>
  <si>
    <t xml:space="preserve">https://indiarfidshop.com/categories</t>
  </si>
  <si>
    <t xml:space="preserve">Categories | Virtualsphere</t>
  </si>
  <si>
    <t xml:space="preserve">'Categories' has no search value.</t>
  </si>
  <si>
    <t xml:space="preserve">RFID Product Categories</t>
  </si>
  <si>
    <t xml:space="preserve">T055</t>
  </si>
  <si>
    <t xml:space="preserve">About</t>
  </si>
  <si>
    <t xml:space="preserve">https://indiarfidshop.com/about</t>
  </si>
  <si>
    <t xml:space="preserve">About Us | Virtualsphere</t>
  </si>
  <si>
    <t xml:space="preserve">Could carry brand + 'RFID manufacturer in India' for brand searches.</t>
  </si>
  <si>
    <t xml:space="preserve">About Us – RFID Manufacturer in India</t>
  </si>
  <si>
    <t xml:space="preserve">T056</t>
  </si>
  <si>
    <t xml:space="preserve">Contact</t>
  </si>
  <si>
    <t xml:space="preserve">https://indiarfidshop.com/contact</t>
  </si>
  <si>
    <t xml:space="preserve">Contact | Virtualsphere</t>
  </si>
  <si>
    <t xml:space="preserve">Generic; add intent words people search (quote, support).</t>
  </si>
  <si>
    <t xml:space="preserve">Contact Us – RFID Quotes &amp; Support</t>
  </si>
  <si>
    <t xml:space="preserve">T057</t>
  </si>
  <si>
    <t xml:space="preserve">H1 found on contact page: 'India RFID shop — RFID readers, tags, wristbands manufacturer &amp; supplier' – not about contacting you.</t>
  </si>
  <si>
    <t xml:space="preserve">1) In the admin panel, set the contact page heading (H1) to the clean product name without '| Virtualsphere' or other pipe text.
2) If H1 and SEO title share one field, add a separate 'SEO Title' field so H1 stays clean.
3) Deploy and check that the page has exactly one H1.</t>
  </si>
  <si>
    <t xml:space="preserve">Contact Virtualsphere</t>
  </si>
  <si>
    <t xml:space="preserve">T058</t>
  </si>
  <si>
    <t xml:space="preserve">RFID Cable Tie Tags</t>
  </si>
  <si>
    <t xml:space="preserve">https://indiarfidshop.com/products/RFID-Cable-Tie-uhf-Tags</t>
  </si>
  <si>
    <t xml:space="preserve">RFID Cable Tie Tags | UHF, HF &amp; LF Asset Tracking Tags | Virtualsphere</t>
  </si>
  <si>
    <t xml:space="preserve">Google shows ~60 characters (≈580px); the end of this title (usually the brand) gets cut off with '…'.</t>
  </si>
  <si>
    <t xml:space="preserve">1) In the admin panel, shorten the SEO title to the Suggested Title.
2) Remove repeated words ('RFID ... RFID Tags') and the second pipe section.
3) Confirm Final Length ≤ 60 so Google does not cut off the end.</t>
  </si>
  <si>
    <t xml:space="preserve">RFID Cable Tie Tags – UHF, HF &amp; LF</t>
  </si>
  <si>
    <t xml:space="preserve">T059</t>
  </si>
  <si>
    <t xml:space="preserve">RFID Silicon Laundry Tag</t>
  </si>
  <si>
    <t xml:space="preserve">https://indiarfidshop.com/products/RFID-silicon-tags-UHF-laundary-tags</t>
  </si>
  <si>
    <t xml:space="preserve">RFID Laundry Silicon Tags | Washable UHF Textile RFID Tags | Virtualsphere</t>
  </si>
  <si>
    <t xml:space="preserve">RFID Laundry Silicon Tags, Washable UHF</t>
  </si>
  <si>
    <t xml:space="preserve">T060</t>
  </si>
  <si>
    <t xml:space="preserve">VS Ferric-100 Metal Tags</t>
  </si>
  <si>
    <t xml:space="preserve">https://indiarfidshop.com/products/RFID-Ferric-100-Metal-UHF-Tags</t>
  </si>
  <si>
    <t xml:space="preserve">RFID Ferric 100 Metal Tags | UHF ABS On-Metal RFID Tags | Virtualsphere</t>
  </si>
  <si>
    <t xml:space="preserve">VS Ferric-100 UHF On-Metal RFID Tags</t>
  </si>
  <si>
    <t xml:space="preserve">T061</t>
  </si>
  <si>
    <t xml:space="preserve">VSL-A1</t>
  </si>
  <si>
    <t xml:space="preserve">https://indiarfidshop.com/products/vsl-a1</t>
  </si>
  <si>
    <t xml:space="preserve">VSL-A1 RFID Fixed Reader | Android UHF RFID Reader | Virtualsphere</t>
  </si>
  <si>
    <t xml:space="preserve">VSL-A1 Android UHF RFID Fixed Reader</t>
  </si>
  <si>
    <t xml:space="preserve">T062</t>
  </si>
  <si>
    <t xml:space="preserve">VST-9662 Labels</t>
  </si>
  <si>
    <t xml:space="preserve">https://indiarfidshop.com/products/vst-9662-rfid-uhf-labels</t>
  </si>
  <si>
    <t xml:space="preserve">VST-9662 RFID UHF Labels | Printable Higgs-3 Tags | Virtualsphere</t>
  </si>
  <si>
    <t xml:space="preserve">VST-9662 Printable UHF RFID Labels</t>
  </si>
  <si>
    <t xml:space="preserve">T063</t>
  </si>
  <si>
    <t xml:space="preserve">RFID Laundry Textile Tags</t>
  </si>
  <si>
    <t xml:space="preserve">https://indiarfidshop.com/products/RFID-Laundry-Textile-Tags</t>
  </si>
  <si>
    <t xml:space="preserve">RFID Laundry Textile Tags | Washable UHF Fabric RFID Tags | Virtualsphere</t>
  </si>
  <si>
    <t xml:space="preserve">RFID Laundry Textile Tags, Washable UHF</t>
  </si>
  <si>
    <t xml:space="preserve">T064</t>
  </si>
  <si>
    <t xml:space="preserve">VST-9640 Inlays</t>
  </si>
  <si>
    <t xml:space="preserve">https://indiarfidshop.com/products/vst-9640-rfid-uhf-inlays</t>
  </si>
  <si>
    <t xml:space="preserve">VST-9640 RFID UHF Inlays | Slim 98×12 mm Higgs-3 Tag | Virtualsphere</t>
  </si>
  <si>
    <t xml:space="preserve">VST-9640 Slim UHF RFID Inlays, Higgs-3</t>
  </si>
  <si>
    <t xml:space="preserve">T065</t>
  </si>
  <si>
    <t xml:space="preserve">Dogbone UHF Inlays</t>
  </si>
  <si>
    <t xml:space="preserve">https://indiarfidshop.com/products/dogbone-rfid-uhf-inlays</t>
  </si>
  <si>
    <t xml:space="preserve">Dogbone RFID UHF Inlays | Impinj M730 Tag, 15 m Range | Virtualsphere</t>
  </si>
  <si>
    <t xml:space="preserve">Dogbone UHF RFID Inlays, Impinj M730</t>
  </si>
  <si>
    <t xml:space="preserve">T066</t>
  </si>
  <si>
    <t xml:space="preserve">T067</t>
  </si>
  <si>
    <t xml:space="preserve">RFID HRP 70 HF Pendrive reader | Virtualsphere</t>
  </si>
  <si>
    <t xml:space="preserve">'RFID HRP 70 HF Pendrive reader' – model not first, lowercase 'reader', no frequency.</t>
  </si>
  <si>
    <t xml:space="preserve">HRP 70 13.56MHz HF RFID USB Pendrive Reader</t>
  </si>
  <si>
    <t xml:space="preserve">T068</t>
  </si>
  <si>
    <t xml:space="preserve">RFID Handheld Reader | UHR 72 | Virtualsphere</t>
  </si>
  <si>
    <t xml:space="preserve">Model should come first; generic 'RFID Handheld Reader' first makes it compete with every other handheld.</t>
  </si>
  <si>
    <t xml:space="preserve">UHR 72 UHF RFID Handheld Reader</t>
  </si>
  <si>
    <t xml:space="preserve">T069</t>
  </si>
  <si>
    <t xml:space="preserve">UDM9R UHF Integrated Reader | Virtualsphere</t>
  </si>
  <si>
    <t xml:space="preserve">Title 'UDM9R UHF Integrated Reader' misses 'RFID' and 'Long Range' (the H1 says Long Range Impinj RFID Reader).</t>
  </si>
  <si>
    <t xml:space="preserve">UDM9R Long Range Integrated UHF RFID Reader</t>
  </si>
  <si>
    <t xml:space="preserve">T070</t>
  </si>
  <si>
    <t xml:space="preserve">UDM12R UHF Integrated Reader | Virtualsphere</t>
  </si>
  <si>
    <t xml:space="preserve">Title misses 'RFID' and 'Impinj' which appear in the H1.</t>
  </si>
  <si>
    <t xml:space="preserve">UDM12R Impinj Integrated UHF RFID Reader</t>
  </si>
  <si>
    <t xml:space="preserve">T071</t>
  </si>
  <si>
    <t xml:space="preserve">Long Range RFID Reader | UDR 107 | Virtualsphere</t>
  </si>
  <si>
    <t xml:space="preserve">Model number should come first; add 'UHF'.</t>
  </si>
  <si>
    <t xml:space="preserve">UDR 107 Long Range UHF RFID Desktop Reader</t>
  </si>
  <si>
    <t xml:space="preserve">T072</t>
  </si>
  <si>
    <t xml:space="preserve">UDR-W105</t>
  </si>
  <si>
    <t xml:space="preserve">https://indiarfidshop.com/products/udr-w105-uhf-rfid-desktop-reader-writer</t>
  </si>
  <si>
    <t xml:space="preserve">H1 is 'UDR 105' while title says 'UDR-W105'. Use the same model name everywhere.</t>
  </si>
  <si>
    <t xml:space="preserve">UDR-W105 UHF RFID Desktop Reader &amp; Writer</t>
  </si>
  <si>
    <t xml:space="preserve">T073</t>
  </si>
  <si>
    <t xml:space="preserve">H1 'RFID SILICON TAG' is all caps and singular; title says 'RFID Laundry Silicon Tags'.</t>
  </si>
  <si>
    <t xml:space="preserve">RFID Laundry Silicon Tags</t>
  </si>
  <si>
    <t xml:space="preserve">Current Title</t>
  </si>
  <si>
    <t xml:space="preserve">Length</t>
  </si>
  <si>
    <t xml:space="preserve">'Virtualsphere' count</t>
  </si>
  <si>
    <t xml:space="preserve">Length Check</t>
  </si>
  <si>
    <t xml:space="preserve">Duplicate Check</t>
  </si>
  <si>
    <t xml:space="preserve">Issues Found</t>
  </si>
  <si>
    <t xml:space="preserve">Open Issues</t>
  </si>
  <si>
    <t xml:space="preserve">Overall</t>
  </si>
  <si>
    <t xml:space="preserve">UDR-W105 UHF RFID Desktop Reader &amp; Writer | Virtualsphere</t>
  </si>
  <si>
    <t xml:space="preserve">VSL-F2 UHF RFID 4 Port Reader | Impinj E710 | Virtualsphere</t>
  </si>
  <si>
    <t xml:space="preserve">ACS112U</t>
  </si>
  <si>
    <t xml:space="preserve">https://indiarfidshop.com/products/acs112u</t>
  </si>
  <si>
    <t xml:space="preserve">ACS112U NFC RFID Reader &amp; Writer | Virtualsphere</t>
  </si>
  <si>
    <t xml:space="preserve">Fix</t>
  </si>
  <si>
    <t xml:space="preserve">Where</t>
  </si>
  <si>
    <t xml:space="preserve">Code / Steps</t>
  </si>
  <si>
    <t xml:space="preserve">Fixes Problems</t>
  </si>
  <si>
    <t xml:space="preserve">1. Remove duplicate brand</t>
  </si>
  <si>
    <t xml:space="preserve">app/products/[slug]/page.tsx</t>
  </si>
  <si>
    <t xml:space="preserve">const clean = (t: string) =&gt; t.replace(/\s*\|\s*Virtualsphere\s*$/i, "");
export async function generateMetadata({ params }) {
  const { slug } = await params;
  const p = await getProduct(slug);
  const title = clean(p.seoTitle || p.name);
  return {
    title,                                   // layout template adds ' | Virtualsphere'
    description: p.metaDescription,
    alternates: { canonical: `/products/${p.slug}` },
    openGraph: { title, url: `/products/${p.slug}`, images: [p.image] },
    twitter: { title, description: p.metaDescription, images: [p.image] },
  };
}</t>
  </si>
  <si>
    <t xml:space="preserve">Duplicate brand in title; Generic twitter:title; Canonical tag missing</t>
  </si>
  <si>
    <t xml:space="preserve">2. Layout title template + base URL</t>
  </si>
  <si>
    <t xml:space="preserve">app/layout.tsx</t>
  </si>
  <si>
    <t xml:space="preserve">export const metadata: Metadata = {
  metadataBase: new URL("https://indiarfidshop.com"),
  title: {
    default: "RFID Readers, Tags &amp; Antennas in India | Virtualsphere",
    template: "%s | Virtualsphere",
  },
};
// Do NOT put alternates.canonical here.</t>
  </si>
  <si>
    <t xml:space="preserve">Duplicate brand in title; Canonical tag missing</t>
  </si>
  <si>
    <t xml:space="preserve">3. Homepage title</t>
  </si>
  <si>
    <t xml:space="preserve">app/page.tsx</t>
  </si>
  <si>
    <t xml:space="preserve">export const metadata = {
  title: { absolute: "RFID Readers, Tags &amp; Antennas in India | Virtualsphere" },
  alternates: { canonical: "/" },
  openGraph: { url: "/" },
};</t>
  </si>
  <si>
    <t xml:space="preserve">Homepage duplicate brand; Generic title</t>
  </si>
  <si>
    <t xml:space="preserve">4. Unique category titles</t>
  </si>
  <si>
    <t xml:space="preserve">app/products/page.tsx</t>
  </si>
  <si>
    <t xml:space="preserve">export async function generateMetadata({ searchParams }) {
  const { category } = await searchParams;
  if (!category) return {
    title: "Buy RFID Readers, Tags &amp; Antennas Online",
    alternates: { canonical: "/products" },
  };
  const c = await getCategory(category);
  const path = `/products?category=${encodeURIComponent(c.slug)}`;
  return {
    title: c.seoTitle || c.name,            // see Issues sheet for suggested titles
    description: c.description?.slice(0, 160),
    alternates: { canonical: path },
    openGraph: { title: c.seoTitle || c.name, url: path },
  };
}</t>
  </si>
  <si>
    <t xml:space="preserve">Duplicate title across category pages; Generic /products title</t>
  </si>
  <si>
    <t xml:space="preserve">5. Static pages</t>
  </si>
  <si>
    <t xml:space="preserve">app/about, contact, privacy, terms, categories → page.tsx</t>
  </si>
  <si>
    <t xml:space="preserve">export const metadata = {
  title: "About Us – RFID Manufacturer in India",   // no brand – template adds it
  alternates: { canonical: "/about" },
  openGraph: { url: "/about" },
};</t>
  </si>
  <si>
    <t xml:space="preserve">Generic titles; Duplicate brand on privacy/terms; Generic og:title</t>
  </si>
  <si>
    <t xml:space="preserve">6. Category slug redirects</t>
  </si>
  <si>
    <t xml:space="preserve">next.config.js</t>
  </si>
  <si>
    <t xml:space="preserve">async redirects() {
  return [
    { source: '/products', has: [{ type: 'query', key: 'category', value: 'raid-tags' }],
      destination: '/products?category=rfid-tags', permanent: true },
    { source: '/products', has: [{ type: 'query', key: 'category', value: 'rfid-laundary-tags' }],
      destination: '/products?category=rfid-laundry-tags', permanent: true },
  ];
}
// Then rename slugs in admin and update sitemap.xml</t>
  </si>
  <si>
    <t xml:space="preserve">7. Verify after deploy</t>
  </si>
  <si>
    <t xml:space="preserve">Browser / Search Console</t>
  </si>
  <si>
    <t xml:space="preserve">1) View page source (Ctrl+U) → check &lt;title&gt;, &lt;meta name="description"&gt;, &lt;link rel="canonical"&gt;.
2) Search Console → URL Inspection → Test live URL → View tested page.
3) Set the row Status to 'Fixed', then 'Verified' after Google recrawls.
4) Re-run: the All Pages sheet flags titles over 60 chars / duplicates once you paste new titles in column D.</t>
  </si>
  <si>
    <t xml:space="preserve">All</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</si>
</sst>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667085"/>
      <name val="Arial"/>
      <family val="0"/>
      <charset val="1"/>
    </font>
    <font>
      <b val="true"/>
      <sz val="10"/>
      <name val="Arial"/>
      <family val="0"/>
      <charset val="1"/>
    </font>
    <font>
      <sz val="10"/>
      <name val="Arial"/>
      <family val="0"/>
      <charset val="1"/>
    </font>
    <font>
      <b val="true"/>
      <sz val="10"/>
      <color rgb="FFFFFFFF"/>
      <name val="Arial"/>
      <family val="0"/>
      <charset val="1"/>
    </font>
    <font>
      <u val="single"/>
      <sz val="10"/>
      <color rgb="FF1155CC"/>
      <name val="Arial"/>
      <family val="0"/>
      <charset val="1"/>
    </font>
    <font>
      <sz val="9"/>
      <name val="Courier New"/>
      <family val="0"/>
      <charset val="1"/>
    </font>
  </fonts>
  <fills count="4">
    <fill>
      <patternFill patternType="none"/>
    </fill>
    <fill>
      <patternFill patternType="gray125"/>
    </fill>
    <fill>
      <patternFill patternType="solid">
        <fgColor rgb="FF1F3A5F"/>
        <bgColor rgb="FF333333"/>
      </patternFill>
    </fill>
    <fill>
      <patternFill patternType="solid">
        <fgColor rgb="FFFFF9DB"/>
        <bgColor rgb="FFFEF0C7"/>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1FADF"/>
          <bgColor rgb="FF000000"/>
        </patternFill>
      </fill>
    </dxf>
    <dxf>
      <fill>
        <patternFill patternType="solid">
          <fgColor rgb="FFFDE2E1"/>
          <bgColor rgb="FF000000"/>
        </patternFill>
      </fill>
    </dxf>
    <dxf>
      <fill>
        <patternFill patternType="solid">
          <fgColor rgb="FFFEF0C7"/>
          <bgColor rgb="FF000000"/>
        </patternFill>
      </fill>
    </dxf>
    <dxf>
      <fill>
        <patternFill patternType="solid">
          <fgColor rgb="FF1155CC"/>
          <bgColor rgb="FF000000"/>
        </patternFill>
      </fill>
    </dxf>
    <dxf>
      <fill>
        <patternFill patternType="solid">
          <fgColor rgb="FFFFF9DB"/>
          <bgColor rgb="FF000000"/>
        </patternFill>
      </fill>
    </dxf>
    <dxf>
      <fill>
        <patternFill>
          <bgColor rgb="FFFDE2E1"/>
        </patternFill>
      </fill>
    </dxf>
    <dxf>
      <fill>
        <patternFill>
          <bgColor rgb="FFFEF0C7"/>
        </patternFill>
      </fill>
    </dxf>
    <dxf>
      <fill>
        <patternFill>
          <bgColor rgb="FFD1FA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DB"/>
      <rgbColor rgb="FFCCFFFF"/>
      <rgbColor rgb="FF660066"/>
      <rgbColor rgb="FFFF8080"/>
      <rgbColor rgb="FF1155CC"/>
      <rgbColor rgb="FFD0D5DD"/>
      <rgbColor rgb="FF000080"/>
      <rgbColor rgb="FFFF00FF"/>
      <rgbColor rgb="FFFFFF00"/>
      <rgbColor rgb="FF00FFFF"/>
      <rgbColor rgb="FF800080"/>
      <rgbColor rgb="FF800000"/>
      <rgbColor rgb="FF008080"/>
      <rgbColor rgb="FF0000FF"/>
      <rgbColor rgb="FF00CCFF"/>
      <rgbColor rgb="FFCCFFFF"/>
      <rgbColor rgb="FFD1FADF"/>
      <rgbColor rgb="FFFEF0C7"/>
      <rgbColor rgb="FF99CCFF"/>
      <rgbColor rgb="FFFF99CC"/>
      <rgbColor rgb="FFCC99FF"/>
      <rgbColor rgb="FFFDE2E1"/>
      <rgbColor rgb="FF3366FF"/>
      <rgbColor rgb="FF33CCCC"/>
      <rgbColor rgb="FF99CC00"/>
      <rgbColor rgb="FFFFCC00"/>
      <rgbColor rgb="FFFF9900"/>
      <rgbColor rgb="FFFF6600"/>
      <rgbColor rgb="FF66708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indiarfidshop.com/" TargetMode="External"/><Relationship Id="rId2" Type="http://schemas.openxmlformats.org/officeDocument/2006/relationships/hyperlink" Target="https://indiarfidshop.com/" TargetMode="External"/><Relationship Id="rId3" Type="http://schemas.openxmlformats.org/officeDocument/2006/relationships/hyperlink" Target="https://indiarfidshop.com/products?category=barcode-printers" TargetMode="External"/><Relationship Id="rId4" Type="http://schemas.openxmlformats.org/officeDocument/2006/relationships/hyperlink" Target="https://indiarfidshop.com/products?category=integrated-reader" TargetMode="External"/><Relationship Id="rId5" Type="http://schemas.openxmlformats.org/officeDocument/2006/relationships/hyperlink" Target="https://indiarfidshop.com/products?category=four-port-reader" TargetMode="External"/><Relationship Id="rId6" Type="http://schemas.openxmlformats.org/officeDocument/2006/relationships/hyperlink" Target="https://indiarfidshop.com/products?category=raid-tags" TargetMode="External"/><Relationship Id="rId7" Type="http://schemas.openxmlformats.org/officeDocument/2006/relationships/hyperlink" Target="https://indiarfidshop.com/products?category=Rfid-uhf-label-tags" TargetMode="External"/><Relationship Id="rId8" Type="http://schemas.openxmlformats.org/officeDocument/2006/relationships/hyperlink" Target="https://indiarfidshop.com/products?category=rfid-laundary-tags" TargetMode="External"/><Relationship Id="rId9" Type="http://schemas.openxmlformats.org/officeDocument/2006/relationships/hyperlink" Target="https://indiarfidshop.com/products?category=rfid-uhf-inlay" TargetMode="External"/><Relationship Id="rId10" Type="http://schemas.openxmlformats.org/officeDocument/2006/relationships/hyperlink" Target="https://indiarfidshop.com/products?category=uhf-rfid-tags" TargetMode="External"/><Relationship Id="rId11" Type="http://schemas.openxmlformats.org/officeDocument/2006/relationships/hyperlink" Target="https://indiarfidshop.com/products?category=rfid-uhf-antenna" TargetMode="External"/><Relationship Id="rId12" Type="http://schemas.openxmlformats.org/officeDocument/2006/relationships/hyperlink" Target="https://indiarfidshop.com/products?category=handheld-reader" TargetMode="External"/><Relationship Id="rId13" Type="http://schemas.openxmlformats.org/officeDocument/2006/relationships/hyperlink" Target="https://indiarfidshop.com/products?category=uhf-desktop-reader" TargetMode="External"/><Relationship Id="rId14" Type="http://schemas.openxmlformats.org/officeDocument/2006/relationships/hyperlink" Target="https://indiarfidshop.com/products?category=hf-rfid-desktop-reader" TargetMode="External"/><Relationship Id="rId15" Type="http://schemas.openxmlformats.org/officeDocument/2006/relationships/hyperlink" Target="https://indiarfidshop.com/products?category=rfid-lf-and-hf-pendrive-reader" TargetMode="External"/><Relationship Id="rId16" Type="http://schemas.openxmlformats.org/officeDocument/2006/relationships/hyperlink" Target="https://indiarfidshop.com/products/desktop-barcode-printer" TargetMode="External"/><Relationship Id="rId17" Type="http://schemas.openxmlformats.org/officeDocument/2006/relationships/hyperlink" Target="https://indiarfidshop.com/products/hrd-13" TargetMode="External"/><Relationship Id="rId18" Type="http://schemas.openxmlformats.org/officeDocument/2006/relationships/hyperlink" Target="https://indiarfidshop.com/products/lrp-70-pendrive-reader" TargetMode="External"/><Relationship Id="rId19" Type="http://schemas.openxmlformats.org/officeDocument/2006/relationships/hyperlink" Target="https://indiarfidshop.com/products/ua9" TargetMode="External"/><Relationship Id="rId20" Type="http://schemas.openxmlformats.org/officeDocument/2006/relationships/hyperlink" Target="https://indiarfidshop.com/products/uca3" TargetMode="External"/><Relationship Id="rId21" Type="http://schemas.openxmlformats.org/officeDocument/2006/relationships/hyperlink" Target="https://indiarfidshop.com/products/udr-w101-uhf-rfid-desktop-reader-writer" TargetMode="External"/><Relationship Id="rId22" Type="http://schemas.openxmlformats.org/officeDocument/2006/relationships/hyperlink" Target="https://indiarfidshop.com/products/udt9r-rfid-jewellery-tray-reader" TargetMode="External"/><Relationship Id="rId23" Type="http://schemas.openxmlformats.org/officeDocument/2006/relationships/hyperlink" Target="https://indiarfidshop.com/products/uhr2-uhf-rfid-handheld-reader" TargetMode="External"/><Relationship Id="rId24" Type="http://schemas.openxmlformats.org/officeDocument/2006/relationships/hyperlink" Target="https://indiarfidshop.com/products/vst-9662-rfid-uhf-inlay-higgs-3" TargetMode="External"/><Relationship Id="rId25" Type="http://schemas.openxmlformats.org/officeDocument/2006/relationships/hyperlink" Target="https://indiarfidshop.com/products/pbr3-bluetooth-uhf-rfid-portable-reader" TargetMode="External"/><Relationship Id="rId26" Type="http://schemas.openxmlformats.org/officeDocument/2006/relationships/hyperlink" Target="https://indiarfidshop.com/products/ua12" TargetMode="External"/><Relationship Id="rId27" Type="http://schemas.openxmlformats.org/officeDocument/2006/relationships/hyperlink" Target="https://indiarfidshop.com/products/uhr-5" TargetMode="External"/><Relationship Id="rId28" Type="http://schemas.openxmlformats.org/officeDocument/2006/relationships/hyperlink" Target="https://indiarfidshop.com/products/hrd-13" TargetMode="External"/><Relationship Id="rId29" Type="http://schemas.openxmlformats.org/officeDocument/2006/relationships/hyperlink" Target="https://indiarfidshop.com/products/ua9" TargetMode="External"/><Relationship Id="rId30" Type="http://schemas.openxmlformats.org/officeDocument/2006/relationships/hyperlink" Target="https://indiarfidshop.com/products/uca3" TargetMode="External"/><Relationship Id="rId31" Type="http://schemas.openxmlformats.org/officeDocument/2006/relationships/hyperlink" Target="https://indiarfidshop.com/products/lrp-70-pendrive-reader" TargetMode="External"/><Relationship Id="rId32" Type="http://schemas.openxmlformats.org/officeDocument/2006/relationships/hyperlink" Target="https://indiarfidshop.com/products/uhr-5" TargetMode="External"/><Relationship Id="rId33" Type="http://schemas.openxmlformats.org/officeDocument/2006/relationships/hyperlink" Target="https://indiarfidshop.com/products/udr-102" TargetMode="External"/><Relationship Id="rId34" Type="http://schemas.openxmlformats.org/officeDocument/2006/relationships/hyperlink" Target="https://indiarfidshop.com/products" TargetMode="External"/><Relationship Id="rId35" Type="http://schemas.openxmlformats.org/officeDocument/2006/relationships/hyperlink" Target="https://indiarfidshop.com/privacy" TargetMode="External"/><Relationship Id="rId36" Type="http://schemas.openxmlformats.org/officeDocument/2006/relationships/hyperlink" Target="https://indiarfidshop.com/terms" TargetMode="External"/><Relationship Id="rId37" Type="http://schemas.openxmlformats.org/officeDocument/2006/relationships/hyperlink" Target="https://indiarfidshop.com/products?category=raid-tags" TargetMode="External"/><Relationship Id="rId38" Type="http://schemas.openxmlformats.org/officeDocument/2006/relationships/hyperlink" Target="https://indiarfidshop.com/products?category=rfid-laundary-tags" TargetMode="External"/><Relationship Id="rId39" Type="http://schemas.openxmlformats.org/officeDocument/2006/relationships/hyperlink" Target="https://indiarfidshop.com/products/udr-w101-uhf-rfid-desktop-reader-writer" TargetMode="External"/><Relationship Id="rId40" Type="http://schemas.openxmlformats.org/officeDocument/2006/relationships/hyperlink" Target="https://indiarfidshop.com/products/udt9r-rfid-jewellery-tray-reader" TargetMode="External"/><Relationship Id="rId41" Type="http://schemas.openxmlformats.org/officeDocument/2006/relationships/hyperlink" Target="https://indiarfidshop.com/products/uhr2-uhf-rfid-handheld-reader" TargetMode="External"/><Relationship Id="rId42" Type="http://schemas.openxmlformats.org/officeDocument/2006/relationships/hyperlink" Target="https://indiarfidshop.com/products/vsl-f2-uhf-rfid-4-port-reader" TargetMode="External"/><Relationship Id="rId43" Type="http://schemas.openxmlformats.org/officeDocument/2006/relationships/hyperlink" Target="https://indiarfidshop.com/products/uhr-72" TargetMode="External"/><Relationship Id="rId44" Type="http://schemas.openxmlformats.org/officeDocument/2006/relationships/hyperlink" Target="https://indiarfidshop.com/products/udm9r-Integrated-reader" TargetMode="External"/><Relationship Id="rId45" Type="http://schemas.openxmlformats.org/officeDocument/2006/relationships/hyperlink" Target="https://indiarfidshop.com/products/udm12r-uhf-Integrated-reader" TargetMode="External"/><Relationship Id="rId46" Type="http://schemas.openxmlformats.org/officeDocument/2006/relationships/hyperlink" Target="https://indiarfidshop.com/products/udr-107" TargetMode="External"/><Relationship Id="rId47" Type="http://schemas.openxmlformats.org/officeDocument/2006/relationships/hyperlink" Target="https://indiarfidshop.com/products/hrp-70-pendrive-reader" TargetMode="External"/><Relationship Id="rId48" Type="http://schemas.openxmlformats.org/officeDocument/2006/relationships/hyperlink" Target="https://indiarfidshop.com/products/udr-102" TargetMode="External"/><Relationship Id="rId49" Type="http://schemas.openxmlformats.org/officeDocument/2006/relationships/hyperlink" Target="https://indiarfidshop.com/privacy" TargetMode="External"/><Relationship Id="rId50" Type="http://schemas.openxmlformats.org/officeDocument/2006/relationships/hyperlink" Target="https://indiarfidshop.com/terms" TargetMode="External"/><Relationship Id="rId51" Type="http://schemas.openxmlformats.org/officeDocument/2006/relationships/hyperlink" Target="https://indiarfidshop.com/categories" TargetMode="External"/><Relationship Id="rId52" Type="http://schemas.openxmlformats.org/officeDocument/2006/relationships/hyperlink" Target="https://indiarfidshop.com/about" TargetMode="External"/><Relationship Id="rId53" Type="http://schemas.openxmlformats.org/officeDocument/2006/relationships/hyperlink" Target="https://indiarfidshop.com/contact" TargetMode="External"/><Relationship Id="rId54" Type="http://schemas.openxmlformats.org/officeDocument/2006/relationships/hyperlink" Target="https://indiarfidshop.com/contact" TargetMode="External"/><Relationship Id="rId55" Type="http://schemas.openxmlformats.org/officeDocument/2006/relationships/hyperlink" Target="https://indiarfidshop.com/products/RFID-Cable-Tie-uhf-Tags" TargetMode="External"/><Relationship Id="rId56" Type="http://schemas.openxmlformats.org/officeDocument/2006/relationships/hyperlink" Target="https://indiarfidshop.com/products/RFID-silicon-tags-UHF-laundary-tags" TargetMode="External"/><Relationship Id="rId57" Type="http://schemas.openxmlformats.org/officeDocument/2006/relationships/hyperlink" Target="https://indiarfidshop.com/products/RFID-Ferric-100-Metal-UHF-Tags" TargetMode="External"/><Relationship Id="rId58" Type="http://schemas.openxmlformats.org/officeDocument/2006/relationships/hyperlink" Target="https://indiarfidshop.com/products/vsl-a1" TargetMode="External"/><Relationship Id="rId59" Type="http://schemas.openxmlformats.org/officeDocument/2006/relationships/hyperlink" Target="https://indiarfidshop.com/products/vst-9662-rfid-uhf-labels" TargetMode="External"/><Relationship Id="rId60" Type="http://schemas.openxmlformats.org/officeDocument/2006/relationships/hyperlink" Target="https://indiarfidshop.com/products/RFID-Laundry-Textile-Tags" TargetMode="External"/><Relationship Id="rId61" Type="http://schemas.openxmlformats.org/officeDocument/2006/relationships/hyperlink" Target="https://indiarfidshop.com/products/vst-9640-rfid-uhf-inlays" TargetMode="External"/><Relationship Id="rId62" Type="http://schemas.openxmlformats.org/officeDocument/2006/relationships/hyperlink" Target="https://indiarfidshop.com/products/dogbone-rfid-uhf-inlays" TargetMode="External"/><Relationship Id="rId63" Type="http://schemas.openxmlformats.org/officeDocument/2006/relationships/hyperlink" Target="https://indiarfidshop.com/products/ua12" TargetMode="External"/><Relationship Id="rId64" Type="http://schemas.openxmlformats.org/officeDocument/2006/relationships/hyperlink" Target="https://indiarfidshop.com/products/hrp-70-pendrive-reader" TargetMode="External"/><Relationship Id="rId65" Type="http://schemas.openxmlformats.org/officeDocument/2006/relationships/hyperlink" Target="https://indiarfidshop.com/products/uhr-72" TargetMode="External"/><Relationship Id="rId66" Type="http://schemas.openxmlformats.org/officeDocument/2006/relationships/hyperlink" Target="https://indiarfidshop.com/products/udm9r-Integrated-reader" TargetMode="External"/><Relationship Id="rId67" Type="http://schemas.openxmlformats.org/officeDocument/2006/relationships/hyperlink" Target="https://indiarfidshop.com/products/udm12r-uhf-Integrated-reader" TargetMode="External"/><Relationship Id="rId68" Type="http://schemas.openxmlformats.org/officeDocument/2006/relationships/hyperlink" Target="https://indiarfidshop.com/products/udr-107" TargetMode="External"/><Relationship Id="rId69" Type="http://schemas.openxmlformats.org/officeDocument/2006/relationships/hyperlink" Target="https://indiarfidshop.com/products/udr-w105-uhf-rfid-desktop-reader-writer" TargetMode="External"/><Relationship Id="rId70" Type="http://schemas.openxmlformats.org/officeDocument/2006/relationships/hyperlink" Target="https://indiarfidshop.com/products/RFID-silicon-tags-UHF-laundary-tags" TargetMode="External"/><Relationship Id="rId7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indiarfidshop.com/" TargetMode="External"/><Relationship Id="rId2" Type="http://schemas.openxmlformats.org/officeDocument/2006/relationships/hyperlink" Target="https://indiarfidshop.com/products" TargetMode="External"/><Relationship Id="rId3" Type="http://schemas.openxmlformats.org/officeDocument/2006/relationships/hyperlink" Target="https://indiarfidshop.com/categories" TargetMode="External"/><Relationship Id="rId4" Type="http://schemas.openxmlformats.org/officeDocument/2006/relationships/hyperlink" Target="https://indiarfidshop.com/about" TargetMode="External"/><Relationship Id="rId5" Type="http://schemas.openxmlformats.org/officeDocument/2006/relationships/hyperlink" Target="https://indiarfidshop.com/contact" TargetMode="External"/><Relationship Id="rId6" Type="http://schemas.openxmlformats.org/officeDocument/2006/relationships/hyperlink" Target="https://indiarfidshop.com/privacy" TargetMode="External"/><Relationship Id="rId7" Type="http://schemas.openxmlformats.org/officeDocument/2006/relationships/hyperlink" Target="https://indiarfidshop.com/terms" TargetMode="External"/><Relationship Id="rId8" Type="http://schemas.openxmlformats.org/officeDocument/2006/relationships/hyperlink" Target="https://indiarfidshop.com/products?category=barcode-printers" TargetMode="External"/><Relationship Id="rId9" Type="http://schemas.openxmlformats.org/officeDocument/2006/relationships/hyperlink" Target="https://indiarfidshop.com/products?category=integrated-reader" TargetMode="External"/><Relationship Id="rId10" Type="http://schemas.openxmlformats.org/officeDocument/2006/relationships/hyperlink" Target="https://indiarfidshop.com/products?category=four-port-reader" TargetMode="External"/><Relationship Id="rId11" Type="http://schemas.openxmlformats.org/officeDocument/2006/relationships/hyperlink" Target="https://indiarfidshop.com/products?category=raid-tags" TargetMode="External"/><Relationship Id="rId12" Type="http://schemas.openxmlformats.org/officeDocument/2006/relationships/hyperlink" Target="https://indiarfidshop.com/products?category=Rfid-uhf-label-tags" TargetMode="External"/><Relationship Id="rId13" Type="http://schemas.openxmlformats.org/officeDocument/2006/relationships/hyperlink" Target="https://indiarfidshop.com/products?category=rfid-laundary-tags" TargetMode="External"/><Relationship Id="rId14" Type="http://schemas.openxmlformats.org/officeDocument/2006/relationships/hyperlink" Target="https://indiarfidshop.com/products?category=rfid-uhf-inlay" TargetMode="External"/><Relationship Id="rId15" Type="http://schemas.openxmlformats.org/officeDocument/2006/relationships/hyperlink" Target="https://indiarfidshop.com/products?category=uhf-rfid-tags" TargetMode="External"/><Relationship Id="rId16" Type="http://schemas.openxmlformats.org/officeDocument/2006/relationships/hyperlink" Target="https://indiarfidshop.com/products?category=rfid-uhf-antenna" TargetMode="External"/><Relationship Id="rId17" Type="http://schemas.openxmlformats.org/officeDocument/2006/relationships/hyperlink" Target="https://indiarfidshop.com/products?category=handheld-reader" TargetMode="External"/><Relationship Id="rId18" Type="http://schemas.openxmlformats.org/officeDocument/2006/relationships/hyperlink" Target="https://indiarfidshop.com/products?category=uhf-desktop-reader" TargetMode="External"/><Relationship Id="rId19" Type="http://schemas.openxmlformats.org/officeDocument/2006/relationships/hyperlink" Target="https://indiarfidshop.com/products?category=hf-rfid-desktop-reader" TargetMode="External"/><Relationship Id="rId20" Type="http://schemas.openxmlformats.org/officeDocument/2006/relationships/hyperlink" Target="https://indiarfidshop.com/products?category=rfid-lf-and-hf-pendrive-reader" TargetMode="External"/><Relationship Id="rId21" Type="http://schemas.openxmlformats.org/officeDocument/2006/relationships/hyperlink" Target="https://indiarfidshop.com/products/desktop-barcode-printer" TargetMode="External"/><Relationship Id="rId22" Type="http://schemas.openxmlformats.org/officeDocument/2006/relationships/hyperlink" Target="https://indiarfidshop.com/products/hrd-13" TargetMode="External"/><Relationship Id="rId23" Type="http://schemas.openxmlformats.org/officeDocument/2006/relationships/hyperlink" Target="https://indiarfidshop.com/products/lrp-70-pendrive-reader" TargetMode="External"/><Relationship Id="rId24" Type="http://schemas.openxmlformats.org/officeDocument/2006/relationships/hyperlink" Target="https://indiarfidshop.com/products/ua9" TargetMode="External"/><Relationship Id="rId25" Type="http://schemas.openxmlformats.org/officeDocument/2006/relationships/hyperlink" Target="https://indiarfidshop.com/products/uca3" TargetMode="External"/><Relationship Id="rId26" Type="http://schemas.openxmlformats.org/officeDocument/2006/relationships/hyperlink" Target="https://indiarfidshop.com/products/udr-w105-uhf-rfid-desktop-reader-writer" TargetMode="External"/><Relationship Id="rId27" Type="http://schemas.openxmlformats.org/officeDocument/2006/relationships/hyperlink" Target="https://indiarfidshop.com/products/udr-w101-uhf-rfid-desktop-reader-writer" TargetMode="External"/><Relationship Id="rId28" Type="http://schemas.openxmlformats.org/officeDocument/2006/relationships/hyperlink" Target="https://indiarfidshop.com/products/udt9r-rfid-jewellery-tray-reader" TargetMode="External"/><Relationship Id="rId29" Type="http://schemas.openxmlformats.org/officeDocument/2006/relationships/hyperlink" Target="https://indiarfidshop.com/products/RFID-Cable-Tie-uhf-Tags" TargetMode="External"/><Relationship Id="rId30" Type="http://schemas.openxmlformats.org/officeDocument/2006/relationships/hyperlink" Target="https://indiarfidshop.com/products/RFID-silicon-tags-UHF-laundary-tags" TargetMode="External"/><Relationship Id="rId31" Type="http://schemas.openxmlformats.org/officeDocument/2006/relationships/hyperlink" Target="https://indiarfidshop.com/products/udm9r-Integrated-reader" TargetMode="External"/><Relationship Id="rId32" Type="http://schemas.openxmlformats.org/officeDocument/2006/relationships/hyperlink" Target="https://indiarfidshop.com/products/udr-102" TargetMode="External"/><Relationship Id="rId33" Type="http://schemas.openxmlformats.org/officeDocument/2006/relationships/hyperlink" Target="https://indiarfidshop.com/products/uhr-72" TargetMode="External"/><Relationship Id="rId34" Type="http://schemas.openxmlformats.org/officeDocument/2006/relationships/hyperlink" Target="https://indiarfidshop.com/products/uhr2-uhf-rfid-handheld-reader" TargetMode="External"/><Relationship Id="rId35" Type="http://schemas.openxmlformats.org/officeDocument/2006/relationships/hyperlink" Target="https://indiarfidshop.com/products/RFID-Ferric-100-Metal-UHF-Tags" TargetMode="External"/><Relationship Id="rId36" Type="http://schemas.openxmlformats.org/officeDocument/2006/relationships/hyperlink" Target="https://indiarfidshop.com/products/vsl-a1" TargetMode="External"/><Relationship Id="rId37" Type="http://schemas.openxmlformats.org/officeDocument/2006/relationships/hyperlink" Target="https://indiarfidshop.com/products/vsl-f2-uhf-rfid-4-port-reader" TargetMode="External"/><Relationship Id="rId38" Type="http://schemas.openxmlformats.org/officeDocument/2006/relationships/hyperlink" Target="https://indiarfidshop.com/products/vst-9662-rfid-uhf-inlay-higgs-3" TargetMode="External"/><Relationship Id="rId39" Type="http://schemas.openxmlformats.org/officeDocument/2006/relationships/hyperlink" Target="https://indiarfidshop.com/products/vst-9662-rfid-uhf-labels" TargetMode="External"/><Relationship Id="rId40" Type="http://schemas.openxmlformats.org/officeDocument/2006/relationships/hyperlink" Target="https://indiarfidshop.com/products/hrp-70-pendrive-reader" TargetMode="External"/><Relationship Id="rId41" Type="http://schemas.openxmlformats.org/officeDocument/2006/relationships/hyperlink" Target="https://indiarfidshop.com/products/pbr3-bluetooth-uhf-rfid-portable-reader" TargetMode="External"/><Relationship Id="rId42" Type="http://schemas.openxmlformats.org/officeDocument/2006/relationships/hyperlink" Target="https://indiarfidshop.com/products/RFID-Laundry-Textile-Tags" TargetMode="External"/><Relationship Id="rId43" Type="http://schemas.openxmlformats.org/officeDocument/2006/relationships/hyperlink" Target="https://indiarfidshop.com/products/ua12" TargetMode="External"/><Relationship Id="rId44" Type="http://schemas.openxmlformats.org/officeDocument/2006/relationships/hyperlink" Target="https://indiarfidshop.com/products/udm12r-uhf-Integrated-reader" TargetMode="External"/><Relationship Id="rId45" Type="http://schemas.openxmlformats.org/officeDocument/2006/relationships/hyperlink" Target="https://indiarfidshop.com/products/udr-107" TargetMode="External"/><Relationship Id="rId46" Type="http://schemas.openxmlformats.org/officeDocument/2006/relationships/hyperlink" Target="https://indiarfidshop.com/products/uhr-5" TargetMode="External"/><Relationship Id="rId47" Type="http://schemas.openxmlformats.org/officeDocument/2006/relationships/hyperlink" Target="https://indiarfidshop.com/products/vst-9640-rfid-uhf-inlays" TargetMode="External"/><Relationship Id="rId48" Type="http://schemas.openxmlformats.org/officeDocument/2006/relationships/hyperlink" Target="https://indiarfidshop.com/products/acs112u" TargetMode="External"/><Relationship Id="rId49" Type="http://schemas.openxmlformats.org/officeDocument/2006/relationships/hyperlink" Target="https://indiarfidshop.com/products/dogbone-rfid-uhf-inlays" TargetMode="External"/><Relationship Id="rId50"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3" t="n">
        <f aca="false">COUNTA('All Pages'!C2:C50)</f>
        <v>49</v>
      </c>
    </row>
    <row r="6" customFormat="false" ht="15" hidden="false" customHeight="false" outlineLevel="0" collapsed="false">
      <c r="A6" s="4" t="s">
        <v>4</v>
      </c>
      <c r="B6" s="3" t="n">
        <f aca="false">COUNTBLANK('All Pages'!D2:D50)</f>
        <v>0</v>
      </c>
    </row>
    <row r="7" customFormat="false" ht="15" hidden="false" customHeight="false" outlineLevel="0" collapsed="false">
      <c r="A7" s="4" t="s">
        <v>5</v>
      </c>
      <c r="B7" s="3" t="n">
        <f aca="false">COUNTIF('All Pages'!K2:K50,"Needs fix")</f>
        <v>0</v>
      </c>
    </row>
    <row r="8" customFormat="false" ht="15" hidden="false" customHeight="false" outlineLevel="0" collapsed="false">
      <c r="A8" s="4" t="s">
        <v>6</v>
      </c>
      <c r="B8" s="3" t="n">
        <f aca="false">COUNTIF('All Pages'!F2:F50,"&gt;1")</f>
        <v>15</v>
      </c>
    </row>
    <row r="9" customFormat="false" ht="15" hidden="false" customHeight="false" outlineLevel="0" collapsed="false">
      <c r="A9" s="4" t="s">
        <v>7</v>
      </c>
      <c r="B9" s="3" t="n">
        <f aca="false">COUNTIF('All Pages'!H2:H50,"Duplicate")</f>
        <v>14</v>
      </c>
    </row>
    <row r="10" customFormat="false" ht="15" hidden="false" customHeight="false" outlineLevel="0" collapsed="false">
      <c r="A10" s="4" t="s">
        <v>8</v>
      </c>
      <c r="B10" s="3" t="n">
        <f aca="false">COUNTIF('All Pages'!G2:G50,"Too long")</f>
        <v>16</v>
      </c>
    </row>
    <row r="11" customFormat="false" ht="15" hidden="false" customHeight="false" outlineLevel="0" collapsed="false">
      <c r="A11" s="4" t="s">
        <v>9</v>
      </c>
      <c r="B11" s="3" t="n">
        <f aca="false">COUNTA(Issues!A2:A74)</f>
        <v>73</v>
      </c>
    </row>
    <row r="12" customFormat="false" ht="15" hidden="false" customHeight="false" outlineLevel="0" collapsed="false">
      <c r="A12" s="4" t="s">
        <v>10</v>
      </c>
      <c r="B12" s="3" t="n">
        <f aca="false">COUNTIFS(Issues!M2:M74,"&lt;&gt;Fixed",Issues!M2:M74,"&lt;&gt;Verified")</f>
        <v>0</v>
      </c>
    </row>
    <row r="14" customFormat="false" ht="15" hidden="false" customHeight="false" outlineLevel="0" collapsed="false">
      <c r="A14" s="5" t="s">
        <v>11</v>
      </c>
      <c r="B14" s="5" t="s">
        <v>12</v>
      </c>
      <c r="C14" s="5" t="s">
        <v>13</v>
      </c>
      <c r="D14" s="5" t="s">
        <v>14</v>
      </c>
      <c r="E14" s="5" t="s">
        <v>15</v>
      </c>
    </row>
    <row r="15" customFormat="false" ht="15" hidden="false" customHeight="false" outlineLevel="0" collapsed="false">
      <c r="A15" s="6" t="s">
        <v>16</v>
      </c>
      <c r="B15" s="6" t="n">
        <f aca="false">COUNTIF(Issues!$F$2:$F$74,A15)</f>
        <v>15</v>
      </c>
      <c r="C15" s="6" t="n">
        <f aca="false">COUNTIFS(Issues!$F$2:$F$74,$A15,Issues!$B$2:$B$74,"High")</f>
        <v>13</v>
      </c>
      <c r="D15" s="6" t="n">
        <f aca="false">COUNTIFS(Issues!$F$2:$F$74,$A15,Issues!$B$2:$B$74,"Medium")</f>
        <v>2</v>
      </c>
      <c r="E15" s="6" t="n">
        <f aca="false">COUNTIFS(Issues!$F$2:$F$74,$A15,Issues!$B$2:$B$74,"Low")</f>
        <v>0</v>
      </c>
    </row>
    <row r="16" customFormat="false" ht="15" hidden="false" customHeight="false" outlineLevel="0" collapsed="false">
      <c r="A16" s="6" t="s">
        <v>17</v>
      </c>
      <c r="B16" s="6" t="n">
        <f aca="false">COUNTIF(Issues!$F$2:$F$74,A16)</f>
        <v>5</v>
      </c>
      <c r="C16" s="6" t="n">
        <f aca="false">COUNTIFS(Issues!$F$2:$F$74,$A16,Issues!$B$2:$B$74,"High")</f>
        <v>1</v>
      </c>
      <c r="D16" s="6" t="n">
        <f aca="false">COUNTIFS(Issues!$F$2:$F$74,$A16,Issues!$B$2:$B$74,"Medium")</f>
        <v>1</v>
      </c>
      <c r="E16" s="6" t="n">
        <f aca="false">COUNTIFS(Issues!$F$2:$F$74,$A16,Issues!$B$2:$B$74,"Low")</f>
        <v>3</v>
      </c>
    </row>
    <row r="17" customFormat="false" ht="15" hidden="false" customHeight="false" outlineLevel="0" collapsed="false">
      <c r="A17" s="6" t="s">
        <v>18</v>
      </c>
      <c r="B17" s="6" t="n">
        <f aca="false">COUNTIF(Issues!$F$2:$F$74,A17)</f>
        <v>13</v>
      </c>
      <c r="C17" s="6" t="n">
        <f aca="false">COUNTIFS(Issues!$F$2:$F$74,$A17,Issues!$B$2:$B$74,"High")</f>
        <v>13</v>
      </c>
      <c r="D17" s="6" t="n">
        <f aca="false">COUNTIFS(Issues!$F$2:$F$74,$A17,Issues!$B$2:$B$74,"Medium")</f>
        <v>0</v>
      </c>
      <c r="E17" s="6" t="n">
        <f aca="false">COUNTIFS(Issues!$F$2:$F$74,$A17,Issues!$B$2:$B$74,"Low")</f>
        <v>0</v>
      </c>
    </row>
    <row r="18" customFormat="false" ht="15" hidden="false" customHeight="false" outlineLevel="0" collapsed="false">
      <c r="A18" s="6" t="s">
        <v>19</v>
      </c>
      <c r="B18" s="6" t="n">
        <f aca="false">COUNTIF(Issues!$F$2:$F$74,A18)</f>
        <v>4</v>
      </c>
      <c r="C18" s="6" t="n">
        <f aca="false">COUNTIFS(Issues!$F$2:$F$74,$A18,Issues!$B$2:$B$74,"High")</f>
        <v>4</v>
      </c>
      <c r="D18" s="6" t="n">
        <f aca="false">COUNTIFS(Issues!$F$2:$F$74,$A18,Issues!$B$2:$B$74,"Medium")</f>
        <v>0</v>
      </c>
      <c r="E18" s="6" t="n">
        <f aca="false">COUNTIFS(Issues!$F$2:$F$74,$A18,Issues!$B$2:$B$74,"Low")</f>
        <v>0</v>
      </c>
    </row>
    <row r="19" customFormat="false" ht="15" hidden="false" customHeight="false" outlineLevel="0" collapsed="false">
      <c r="A19" s="6" t="s">
        <v>20</v>
      </c>
      <c r="B19" s="6" t="n">
        <f aca="false">COUNTIF(Issues!$F$2:$F$74,A19)</f>
        <v>1</v>
      </c>
      <c r="C19" s="6" t="n">
        <f aca="false">COUNTIFS(Issues!$F$2:$F$74,$A19,Issues!$B$2:$B$74,"High")</f>
        <v>1</v>
      </c>
      <c r="D19" s="6" t="n">
        <f aca="false">COUNTIFS(Issues!$F$2:$F$74,$A19,Issues!$B$2:$B$74,"Medium")</f>
        <v>0</v>
      </c>
      <c r="E19" s="6" t="n">
        <f aca="false">COUNTIFS(Issues!$F$2:$F$74,$A19,Issues!$B$2:$B$74,"Low")</f>
        <v>0</v>
      </c>
    </row>
    <row r="20" customFormat="false" ht="15" hidden="false" customHeight="false" outlineLevel="0" collapsed="false">
      <c r="A20" s="6" t="s">
        <v>21</v>
      </c>
      <c r="B20" s="6" t="n">
        <f aca="false">COUNTIF(Issues!$F$2:$F$74,A20)</f>
        <v>1</v>
      </c>
      <c r="C20" s="6" t="n">
        <f aca="false">COUNTIFS(Issues!$F$2:$F$74,$A20,Issues!$B$2:$B$74,"High")</f>
        <v>1</v>
      </c>
      <c r="D20" s="6" t="n">
        <f aca="false">COUNTIFS(Issues!$F$2:$F$74,$A20,Issues!$B$2:$B$74,"Medium")</f>
        <v>0</v>
      </c>
      <c r="E20" s="6" t="n">
        <f aca="false">COUNTIFS(Issues!$F$2:$F$74,$A20,Issues!$B$2:$B$74,"Low")</f>
        <v>0</v>
      </c>
    </row>
    <row r="21" customFormat="false" ht="15" hidden="false" customHeight="false" outlineLevel="0" collapsed="false">
      <c r="A21" s="6" t="s">
        <v>22</v>
      </c>
      <c r="B21" s="6" t="n">
        <f aca="false">COUNTIF(Issues!$F$2:$F$74,A21)</f>
        <v>1</v>
      </c>
      <c r="C21" s="6" t="n">
        <f aca="false">COUNTIFS(Issues!$F$2:$F$74,$A21,Issues!$B$2:$B$74,"High")</f>
        <v>1</v>
      </c>
      <c r="D21" s="6" t="n">
        <f aca="false">COUNTIFS(Issues!$F$2:$F$74,$A21,Issues!$B$2:$B$74,"Medium")</f>
        <v>0</v>
      </c>
      <c r="E21" s="6" t="n">
        <f aca="false">COUNTIFS(Issues!$F$2:$F$74,$A21,Issues!$B$2:$B$74,"Low")</f>
        <v>0</v>
      </c>
    </row>
    <row r="22" customFormat="false" ht="15" hidden="false" customHeight="false" outlineLevel="0" collapsed="false">
      <c r="A22" s="6" t="s">
        <v>23</v>
      </c>
      <c r="B22" s="6" t="n">
        <f aca="false">COUNTIF(Issues!$F$2:$F$74,A22)</f>
        <v>2</v>
      </c>
      <c r="C22" s="6" t="n">
        <f aca="false">COUNTIFS(Issues!$F$2:$F$74,$A22,Issues!$B$2:$B$74,"High")</f>
        <v>0</v>
      </c>
      <c r="D22" s="6" t="n">
        <f aca="false">COUNTIFS(Issues!$F$2:$F$74,$A22,Issues!$B$2:$B$74,"Medium")</f>
        <v>2</v>
      </c>
      <c r="E22" s="6" t="n">
        <f aca="false">COUNTIFS(Issues!$F$2:$F$74,$A22,Issues!$B$2:$B$74,"Low")</f>
        <v>0</v>
      </c>
    </row>
    <row r="23" customFormat="false" ht="15" hidden="false" customHeight="false" outlineLevel="0" collapsed="false">
      <c r="A23" s="6" t="s">
        <v>24</v>
      </c>
      <c r="B23" s="6" t="n">
        <f aca="false">COUNTIF(Issues!$F$2:$F$74,A23)</f>
        <v>4</v>
      </c>
      <c r="C23" s="6" t="n">
        <f aca="false">COUNTIFS(Issues!$F$2:$F$74,$A23,Issues!$B$2:$B$74,"High")</f>
        <v>0</v>
      </c>
      <c r="D23" s="6" t="n">
        <f aca="false">COUNTIFS(Issues!$F$2:$F$74,$A23,Issues!$B$2:$B$74,"Medium")</f>
        <v>4</v>
      </c>
      <c r="E23" s="6" t="n">
        <f aca="false">COUNTIFS(Issues!$F$2:$F$74,$A23,Issues!$B$2:$B$74,"Low")</f>
        <v>0</v>
      </c>
    </row>
    <row r="24" customFormat="false" ht="15" hidden="false" customHeight="false" outlineLevel="0" collapsed="false">
      <c r="A24" s="6" t="s">
        <v>25</v>
      </c>
      <c r="B24" s="6" t="n">
        <f aca="false">COUNTIF(Issues!$F$2:$F$74,A24)</f>
        <v>6</v>
      </c>
      <c r="C24" s="6" t="n">
        <f aca="false">COUNTIFS(Issues!$F$2:$F$74,$A24,Issues!$B$2:$B$74,"High")</f>
        <v>0</v>
      </c>
      <c r="D24" s="6" t="n">
        <f aca="false">COUNTIFS(Issues!$F$2:$F$74,$A24,Issues!$B$2:$B$74,"Medium")</f>
        <v>6</v>
      </c>
      <c r="E24" s="6" t="n">
        <f aca="false">COUNTIFS(Issues!$F$2:$F$74,$A24,Issues!$B$2:$B$74,"Low")</f>
        <v>0</v>
      </c>
    </row>
    <row r="25" customFormat="false" ht="15" hidden="false" customHeight="false" outlineLevel="0" collapsed="false">
      <c r="A25" s="6" t="s">
        <v>26</v>
      </c>
      <c r="B25" s="6" t="n">
        <f aca="false">COUNTIF(Issues!$F$2:$F$74,A25)</f>
        <v>1</v>
      </c>
      <c r="C25" s="6" t="n">
        <f aca="false">COUNTIFS(Issues!$F$2:$F$74,$A25,Issues!$B$2:$B$74,"High")</f>
        <v>0</v>
      </c>
      <c r="D25" s="6" t="n">
        <f aca="false">COUNTIFS(Issues!$F$2:$F$74,$A25,Issues!$B$2:$B$74,"Medium")</f>
        <v>1</v>
      </c>
      <c r="E25" s="6" t="n">
        <f aca="false">COUNTIFS(Issues!$F$2:$F$74,$A25,Issues!$B$2:$B$74,"Low")</f>
        <v>0</v>
      </c>
    </row>
    <row r="26" customFormat="false" ht="15" hidden="false" customHeight="false" outlineLevel="0" collapsed="false">
      <c r="A26" s="6" t="s">
        <v>27</v>
      </c>
      <c r="B26" s="6" t="n">
        <f aca="false">COUNTIF(Issues!$F$2:$F$74,A26)</f>
        <v>1</v>
      </c>
      <c r="C26" s="6" t="n">
        <f aca="false">COUNTIFS(Issues!$F$2:$F$74,$A26,Issues!$B$2:$B$74,"High")</f>
        <v>0</v>
      </c>
      <c r="D26" s="6" t="n">
        <f aca="false">COUNTIFS(Issues!$F$2:$F$74,$A26,Issues!$B$2:$B$74,"Medium")</f>
        <v>1</v>
      </c>
      <c r="E26" s="6" t="n">
        <f aca="false">COUNTIFS(Issues!$F$2:$F$74,$A26,Issues!$B$2:$B$74,"Low")</f>
        <v>0</v>
      </c>
    </row>
    <row r="27" customFormat="false" ht="15" hidden="false" customHeight="false" outlineLevel="0" collapsed="false">
      <c r="A27" s="6" t="s">
        <v>28</v>
      </c>
      <c r="B27" s="6" t="n">
        <f aca="false">COUNTIF(Issues!$F$2:$F$74,A27)</f>
        <v>2</v>
      </c>
      <c r="C27" s="6" t="n">
        <f aca="false">COUNTIFS(Issues!$F$2:$F$74,$A27,Issues!$B$2:$B$74,"High")</f>
        <v>0</v>
      </c>
      <c r="D27" s="6" t="n">
        <f aca="false">COUNTIFS(Issues!$F$2:$F$74,$A27,Issues!$B$2:$B$74,"Medium")</f>
        <v>2</v>
      </c>
      <c r="E27" s="6" t="n">
        <f aca="false">COUNTIFS(Issues!$F$2:$F$74,$A27,Issues!$B$2:$B$74,"Low")</f>
        <v>0</v>
      </c>
    </row>
    <row r="28" customFormat="false" ht="15" hidden="false" customHeight="false" outlineLevel="0" collapsed="false">
      <c r="A28" s="6" t="s">
        <v>29</v>
      </c>
      <c r="B28" s="6" t="n">
        <f aca="false">COUNTIF(Issues!$F$2:$F$74,A28)</f>
        <v>1</v>
      </c>
      <c r="C28" s="6" t="n">
        <f aca="false">COUNTIFS(Issues!$F$2:$F$74,$A28,Issues!$B$2:$B$74,"High")</f>
        <v>0</v>
      </c>
      <c r="D28" s="6" t="n">
        <f aca="false">COUNTIFS(Issues!$F$2:$F$74,$A28,Issues!$B$2:$B$74,"Medium")</f>
        <v>0</v>
      </c>
      <c r="E28" s="6" t="n">
        <f aca="false">COUNTIFS(Issues!$F$2:$F$74,$A28,Issues!$B$2:$B$74,"Low")</f>
        <v>1</v>
      </c>
    </row>
    <row r="29" customFormat="false" ht="15" hidden="false" customHeight="false" outlineLevel="0" collapsed="false">
      <c r="A29" s="6" t="s">
        <v>30</v>
      </c>
      <c r="B29" s="6" t="n">
        <f aca="false">COUNTIF(Issues!$F$2:$F$74,A29)</f>
        <v>9</v>
      </c>
      <c r="C29" s="6" t="n">
        <f aca="false">COUNTIFS(Issues!$F$2:$F$74,$A29,Issues!$B$2:$B$74,"High")</f>
        <v>0</v>
      </c>
      <c r="D29" s="6" t="n">
        <f aca="false">COUNTIFS(Issues!$F$2:$F$74,$A29,Issues!$B$2:$B$74,"Medium")</f>
        <v>0</v>
      </c>
      <c r="E29" s="6" t="n">
        <f aca="false">COUNTIFS(Issues!$F$2:$F$74,$A29,Issues!$B$2:$B$74,"Low")</f>
        <v>9</v>
      </c>
    </row>
    <row r="30" customFormat="false" ht="15" hidden="false" customHeight="false" outlineLevel="0" collapsed="false">
      <c r="A30" s="6" t="s">
        <v>31</v>
      </c>
      <c r="B30" s="6" t="n">
        <f aca="false">COUNTIF(Issues!$F$2:$F$74,A30)</f>
        <v>5</v>
      </c>
      <c r="C30" s="6" t="n">
        <f aca="false">COUNTIFS(Issues!$F$2:$F$74,$A30,Issues!$B$2:$B$74,"High")</f>
        <v>0</v>
      </c>
      <c r="D30" s="6" t="n">
        <f aca="false">COUNTIFS(Issues!$F$2:$F$74,$A30,Issues!$B$2:$B$74,"Medium")</f>
        <v>0</v>
      </c>
      <c r="E30" s="6" t="n">
        <f aca="false">COUNTIFS(Issues!$F$2:$F$74,$A30,Issues!$B$2:$B$74,"Low")</f>
        <v>5</v>
      </c>
    </row>
    <row r="31" customFormat="false" ht="15" hidden="false" customHeight="false" outlineLevel="0" collapsed="false">
      <c r="A31" s="6" t="s">
        <v>32</v>
      </c>
      <c r="B31" s="6" t="n">
        <f aca="false">COUNTIF(Issues!$F$2:$F$74,A31)</f>
        <v>2</v>
      </c>
      <c r="C31" s="6" t="n">
        <f aca="false">COUNTIFS(Issues!$F$2:$F$74,$A31,Issues!$B$2:$B$74,"High")</f>
        <v>0</v>
      </c>
      <c r="D31" s="6" t="n">
        <f aca="false">COUNTIFS(Issues!$F$2:$F$74,$A31,Issues!$B$2:$B$74,"Medium")</f>
        <v>0</v>
      </c>
      <c r="E31" s="6" t="n">
        <f aca="false">COUNTIFS(Issues!$F$2:$F$74,$A31,Issues!$B$2:$B$74,"Low")</f>
        <v>2</v>
      </c>
    </row>
    <row r="32" customFormat="false" ht="15" hidden="false" customHeight="false" outlineLevel="0" collapsed="false">
      <c r="A32" s="7" t="s">
        <v>12</v>
      </c>
      <c r="B32" s="7" t="n">
        <f aca="false">SUM(B15:B31)</f>
        <v>73</v>
      </c>
      <c r="C32" s="7" t="n">
        <f aca="false">SUM(C15:C31)</f>
        <v>34</v>
      </c>
      <c r="D32" s="7" t="n">
        <f aca="false">SUM(D15:D31)</f>
        <v>19</v>
      </c>
      <c r="E32" s="7" t="n">
        <f aca="false">SUM(E15:E31)</f>
        <v>20</v>
      </c>
    </row>
    <row r="34" customFormat="false" ht="15" hidden="false" customHeight="false" outlineLevel="0" collapsed="false">
      <c r="A34" s="3" t="s">
        <v>33</v>
      </c>
    </row>
    <row r="35" customFormat="false" ht="27.75" hidden="false" customHeight="true" outlineLevel="0" collapsed="false">
      <c r="A35" s="8" t="s">
        <v>34</v>
      </c>
      <c r="B35" s="8"/>
      <c r="C35" s="8"/>
      <c r="D35" s="8"/>
      <c r="E35" s="8"/>
    </row>
    <row r="36" customFormat="false" ht="27.75" hidden="false" customHeight="true" outlineLevel="0" collapsed="false">
      <c r="A36" s="8" t="s">
        <v>35</v>
      </c>
      <c r="B36" s="8"/>
      <c r="C36" s="8"/>
      <c r="D36" s="8"/>
      <c r="E36" s="8"/>
    </row>
    <row r="37" customFormat="false" ht="27.75" hidden="false" customHeight="true" outlineLevel="0" collapsed="false">
      <c r="A37" s="8" t="s">
        <v>36</v>
      </c>
      <c r="B37" s="8"/>
      <c r="C37" s="8"/>
      <c r="D37" s="8"/>
      <c r="E37" s="8"/>
    </row>
    <row r="38" customFormat="false" ht="27.75" hidden="false" customHeight="true" outlineLevel="0" collapsed="false">
      <c r="A38" s="8" t="s">
        <v>37</v>
      </c>
      <c r="B38" s="8"/>
      <c r="C38" s="8"/>
      <c r="D38" s="8"/>
      <c r="E38" s="8"/>
    </row>
    <row r="39" customFormat="false" ht="27.75" hidden="false" customHeight="true" outlineLevel="0" collapsed="false">
      <c r="A39" s="8" t="s">
        <v>38</v>
      </c>
      <c r="B39" s="8"/>
      <c r="C39" s="8"/>
      <c r="D39" s="8"/>
      <c r="E39" s="8"/>
    </row>
    <row r="40" customFormat="false" ht="27.75" hidden="false" customHeight="true" outlineLevel="0" collapsed="false">
      <c r="A40" s="8" t="s">
        <v>39</v>
      </c>
      <c r="B40" s="8"/>
      <c r="C40" s="8"/>
      <c r="D40" s="8"/>
      <c r="E40" s="8"/>
    </row>
  </sheetData>
  <mergeCells count="6">
    <mergeCell ref="A35:E35"/>
    <mergeCell ref="A36:E36"/>
    <mergeCell ref="A37:E37"/>
    <mergeCell ref="A38:E38"/>
    <mergeCell ref="A39:E39"/>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0"/>
    <col collapsed="false" customWidth="true" hidden="false" outlineLevel="0" max="4" min="4" style="0" width="22"/>
    <col collapsed="false" customWidth="true" hidden="false" outlineLevel="0" max="5" min="5" style="0" width="44"/>
    <col collapsed="false" customWidth="true" hidden="false" outlineLevel="0" max="6" min="6" style="0" width="30"/>
    <col collapsed="false" customWidth="true" hidden="false" outlineLevel="0" max="7" min="7" style="0" width="40"/>
    <col collapsed="false" customWidth="true" hidden="false" outlineLevel="0" max="8" min="8" style="0" width="48"/>
    <col collapsed="false" customWidth="true" hidden="false" outlineLevel="0" max="9" min="9" style="0" width="70"/>
    <col collapsed="false" customWidth="true" hidden="false" outlineLevel="0" max="10" min="10" style="0" width="42"/>
    <col collapsed="false" customWidth="true" hidden="false" outlineLevel="0" max="11" min="11" style="0" width="46"/>
    <col collapsed="false" customWidth="true" hidden="false" outlineLevel="0" max="12" min="12" style="0" width="10"/>
    <col collapsed="false" customWidth="true" hidden="false" outlineLevel="0" max="13" min="13" style="0" width="12"/>
    <col collapsed="false" customWidth="true" hidden="false" outlineLevel="0" max="14" min="14" style="0" width="14"/>
    <col collapsed="false" customWidth="true" hidden="false" outlineLevel="0" max="15" min="15" style="0" width="100"/>
  </cols>
  <sheetData>
    <row r="1" customFormat="false" ht="35.05" hidden="false" customHeight="false" outlineLevel="0" collapsed="false">
      <c r="A1" s="9" t="s">
        <v>40</v>
      </c>
      <c r="B1" s="9" t="s">
        <v>41</v>
      </c>
      <c r="C1" s="9" t="s">
        <v>42</v>
      </c>
      <c r="D1" s="9" t="s">
        <v>43</v>
      </c>
      <c r="E1" s="9" t="s">
        <v>44</v>
      </c>
      <c r="F1" s="9" t="s">
        <v>45</v>
      </c>
      <c r="G1" s="9" t="s">
        <v>46</v>
      </c>
      <c r="H1" s="9" t="s">
        <v>47</v>
      </c>
      <c r="I1" s="9" t="s">
        <v>48</v>
      </c>
      <c r="J1" s="9" t="s">
        <v>49</v>
      </c>
      <c r="K1" s="9" t="s">
        <v>50</v>
      </c>
      <c r="L1" s="9" t="s">
        <v>51</v>
      </c>
      <c r="M1" s="9" t="s">
        <v>52</v>
      </c>
      <c r="N1" s="9" t="s">
        <v>53</v>
      </c>
      <c r="O1" s="9" t="s">
        <v>54</v>
      </c>
    </row>
    <row r="2" customFormat="false" ht="57.45" hidden="false" customHeight="false" outlineLevel="0" collapsed="false">
      <c r="A2" s="10" t="s">
        <v>55</v>
      </c>
      <c r="B2" s="10" t="s">
        <v>13</v>
      </c>
      <c r="C2" s="10" t="s">
        <v>56</v>
      </c>
      <c r="D2" s="10" t="s">
        <v>57</v>
      </c>
      <c r="E2" s="11" t="s">
        <v>58</v>
      </c>
      <c r="F2" s="10" t="s">
        <v>16</v>
      </c>
      <c r="G2" s="10" t="s">
        <v>59</v>
      </c>
      <c r="H2" s="10" t="s">
        <v>60</v>
      </c>
      <c r="I2" s="10" t="s">
        <v>61</v>
      </c>
      <c r="J2" s="10" t="s">
        <v>62</v>
      </c>
      <c r="K2" s="10" t="str">
        <f aca="false">J2</f>
        <v>RFID Readers, Tags &amp; Antennas in India | Virtualsphere</v>
      </c>
      <c r="L2" s="12" t="n">
        <f aca="false">IF(K2="","",LEN(K2))</f>
        <v>54</v>
      </c>
      <c r="M2" s="13" t="inlineStr">
        <is>
          <t xml:space="preserve">Fixed</t>
        </is>
      </c>
      <c r="N2" s="13"/>
      <c r="O2" s="13" t="inlineStr">
        <is>
          <t xml:space="preserve">Already fixed before 9 Oct 2026 (commit 09f194b, 7 Oct): the homepage sets its own full title with the brand once (HOME_TITLE in src/lib/seo.ts).
Checked live 9 Oct 2026: title is 'RFID Readers, Tags &amp; Antennas in India | Virtualsphere' (54 chars, brand once).</t>
        </is>
      </c>
    </row>
    <row r="3" customFormat="false" ht="54.6" hidden="false" customHeight="false" outlineLevel="0" collapsed="false">
      <c r="A3" s="10" t="s">
        <v>64</v>
      </c>
      <c r="B3" s="10" t="s">
        <v>13</v>
      </c>
      <c r="C3" s="10" t="s">
        <v>56</v>
      </c>
      <c r="D3" s="10" t="s">
        <v>57</v>
      </c>
      <c r="E3" s="11" t="s">
        <v>58</v>
      </c>
      <c r="F3" s="10" t="s">
        <v>17</v>
      </c>
      <c r="G3" s="10" t="s">
        <v>59</v>
      </c>
      <c r="H3" s="10" t="s">
        <v>65</v>
      </c>
      <c r="I3" s="10" t="s">
        <v>66</v>
      </c>
      <c r="J3" s="10" t="s">
        <v>62</v>
      </c>
      <c r="K3" s="10" t="str">
        <f aca="false">J3</f>
        <v>RFID Readers, Tags &amp; Antennas in India | Virtualsphere</v>
      </c>
      <c r="L3" s="12" t="n">
        <f aca="false">IF(K3="","",LEN(K3))</f>
        <v>54</v>
      </c>
      <c r="M3" s="13" t="inlineStr">
        <is>
          <t xml:space="preserve">Fixed</t>
        </is>
      </c>
      <c r="N3" s="13"/>
      <c r="O3" s="13" t="inlineStr">
        <is>
          <t xml:space="preserve">Already fixed before 9 Oct 2026 (commit 09f194b, 7 Oct): the homepage sets its own full title with the brand once (HOME_TITLE in src/lib/seo.ts).
Checked live 9 Oct 2026: title is 'RFID Readers, Tags &amp; Antennas in India | Virtualsphere' (54 chars, brand once).</t>
        </is>
      </c>
    </row>
    <row r="4" customFormat="false" ht="68.65" hidden="false" customHeight="false" outlineLevel="0" collapsed="false">
      <c r="A4" s="10" t="s">
        <v>67</v>
      </c>
      <c r="B4" s="10" t="s">
        <v>13</v>
      </c>
      <c r="C4" s="10" t="s">
        <v>68</v>
      </c>
      <c r="D4" s="10" t="s">
        <v>69</v>
      </c>
      <c r="E4" s="11" t="s">
        <v>70</v>
      </c>
      <c r="F4" s="10" t="s">
        <v>18</v>
      </c>
      <c r="G4" s="10" t="s">
        <v>71</v>
      </c>
      <c r="H4" s="10" t="s">
        <v>72</v>
      </c>
      <c r="I4" s="10" t="s">
        <v>73</v>
      </c>
      <c r="J4" s="10" t="s">
        <v>69</v>
      </c>
      <c r="K4" s="10" t="str">
        <f aca="false">J4&amp;" | Virtualsphere"</f>
        <v>Barcode Printers | Virtualsphere</v>
      </c>
      <c r="L4" s="12" t="n">
        <f aca="false">IF(K4="","",LEN(K4))</f>
        <v>32</v>
      </c>
      <c r="M4" s="13" t="inlineStr">
        <is>
          <t xml:space="preserve">Fixed</t>
        </is>
      </c>
      <c r="N4" s="13"/>
      <c r="O4" s="13" t="inlineStr">
        <is>
          <t xml:space="preserve">Already fixed before 9 Oct 2026 (commit 09f194b, 7 Oct): each category page gets its own title from CATEGORY_TITLES (src/app/(public)/products/page.tsx).
Checked live 9 Oct 2026: title is 'Buy RFID Label Printers | Virtualsphere' (39 chars), unique among all pages. Wording differs from the suggestion ('Barcode Printers'); the category is now named RFID Printers.</t>
        </is>
      </c>
    </row>
    <row r="5" customFormat="false" ht="68.65" hidden="false" customHeight="false" outlineLevel="0" collapsed="false">
      <c r="A5" s="10" t="s">
        <v>74</v>
      </c>
      <c r="B5" s="10" t="s">
        <v>13</v>
      </c>
      <c r="C5" s="10" t="s">
        <v>68</v>
      </c>
      <c r="D5" s="10" t="s">
        <v>75</v>
      </c>
      <c r="E5" s="11" t="s">
        <v>76</v>
      </c>
      <c r="F5" s="10" t="s">
        <v>18</v>
      </c>
      <c r="G5" s="10" t="s">
        <v>71</v>
      </c>
      <c r="H5" s="10" t="s">
        <v>77</v>
      </c>
      <c r="I5" s="10" t="s">
        <v>73</v>
      </c>
      <c r="J5" s="10" t="s">
        <v>78</v>
      </c>
      <c r="K5" s="10" t="str">
        <f aca="false">J5&amp;" | Virtualsphere"</f>
        <v>UHF Integrated RFID Readers | Virtualsphere</v>
      </c>
      <c r="L5" s="12" t="n">
        <f aca="false">IF(K5="","",LEN(K5))</f>
        <v>43</v>
      </c>
      <c r="M5" s="13" t="inlineStr">
        <is>
          <t xml:space="preserve">Fixed</t>
        </is>
      </c>
      <c r="N5" s="13"/>
      <c r="O5" s="13" t="inlineStr">
        <is>
          <t xml:space="preserve">Already fixed before 9 Oct 2026 (commit 09f194b, 7 Oct): each category page gets its own title from CATEGORY_TITLES (src/app/(public)/products/page.tsx).
Checked live 9 Oct 2026: title is 'UHF Integrated RFID Readers | Virtualsphere' (43 chars), unique among all pages.</t>
        </is>
      </c>
    </row>
    <row r="6" customFormat="false" ht="68.65" hidden="false" customHeight="false" outlineLevel="0" collapsed="false">
      <c r="A6" s="10" t="s">
        <v>79</v>
      </c>
      <c r="B6" s="10" t="s">
        <v>13</v>
      </c>
      <c r="C6" s="10" t="s">
        <v>68</v>
      </c>
      <c r="D6" s="10" t="s">
        <v>80</v>
      </c>
      <c r="E6" s="11" t="s">
        <v>81</v>
      </c>
      <c r="F6" s="10" t="s">
        <v>18</v>
      </c>
      <c r="G6" s="10" t="s">
        <v>71</v>
      </c>
      <c r="H6" s="10" t="s">
        <v>82</v>
      </c>
      <c r="I6" s="10" t="s">
        <v>73</v>
      </c>
      <c r="J6" s="10" t="s">
        <v>83</v>
      </c>
      <c r="K6" s="10" t="str">
        <f aca="false">J6&amp;" | Virtualsphere"</f>
        <v>4-Port UHF RFID Fixed Readers | Virtualsphere</v>
      </c>
      <c r="L6" s="12" t="n">
        <f aca="false">IF(K6="","",LEN(K6))</f>
        <v>45</v>
      </c>
      <c r="M6" s="13" t="inlineStr">
        <is>
          <t xml:space="preserve">Fixed</t>
        </is>
      </c>
      <c r="N6" s="13"/>
      <c r="O6" s="13" t="inlineStr">
        <is>
          <t xml:space="preserve">Already fixed before 9 Oct 2026 (commit 09f194b, 7 Oct): each category page gets its own title from CATEGORY_TITLES (src/app/(public)/products/page.tsx).
Checked live 9 Oct 2026: title is '4-Port UHF RFID Fixed Readers | Virtualsphere' (45 chars), unique among all pages.</t>
        </is>
      </c>
    </row>
    <row r="7" customFormat="false" ht="68.65" hidden="false" customHeight="false" outlineLevel="0" collapsed="false">
      <c r="A7" s="10" t="s">
        <v>84</v>
      </c>
      <c r="B7" s="10" t="s">
        <v>13</v>
      </c>
      <c r="C7" s="10" t="s">
        <v>68</v>
      </c>
      <c r="D7" s="10" t="s">
        <v>85</v>
      </c>
      <c r="E7" s="11" t="s">
        <v>86</v>
      </c>
      <c r="F7" s="10" t="s">
        <v>18</v>
      </c>
      <c r="G7" s="10" t="s">
        <v>71</v>
      </c>
      <c r="H7" s="10" t="s">
        <v>87</v>
      </c>
      <c r="I7" s="10" t="s">
        <v>73</v>
      </c>
      <c r="J7" s="10" t="s">
        <v>88</v>
      </c>
      <c r="K7" s="10" t="str">
        <f aca="false">J7&amp;" | Virtualsphere"</f>
        <v>RFID Tags – UHF, HF &amp; On-Metal | Virtualsphere</v>
      </c>
      <c r="L7" s="12" t="n">
        <f aca="false">IF(K7="","",LEN(K7))</f>
        <v>46</v>
      </c>
      <c r="M7" s="13" t="inlineStr">
        <is>
          <t xml:space="preserve">Fixed</t>
        </is>
      </c>
      <c r="N7" s="13"/>
      <c r="O7" s="13" t="inlineStr">
        <is>
          <t xml:space="preserve">Already fixed before 9 Oct 2026 (commit 09f194b, 7 Oct): each category page gets its own title from CATEGORY_TITLES (src/app/(public)/products/page.tsx).
Checked live 9 Oct 2026: title is 'RFID Tags – UHF, HF &amp; On-Metal | Virtualsphere' (46 chars), unique among all pages. Checked at the renamed URL /products?category=rfid-tags (see T038).</t>
        </is>
      </c>
    </row>
    <row r="8" customFormat="false" ht="68.65" hidden="false" customHeight="false" outlineLevel="0" collapsed="false">
      <c r="A8" s="10" t="s">
        <v>89</v>
      </c>
      <c r="B8" s="10" t="s">
        <v>13</v>
      </c>
      <c r="C8" s="10" t="s">
        <v>68</v>
      </c>
      <c r="D8" s="10" t="s">
        <v>90</v>
      </c>
      <c r="E8" s="11" t="s">
        <v>91</v>
      </c>
      <c r="F8" s="10" t="s">
        <v>18</v>
      </c>
      <c r="G8" s="10" t="s">
        <v>71</v>
      </c>
      <c r="H8" s="10" t="s">
        <v>92</v>
      </c>
      <c r="I8" s="10" t="s">
        <v>73</v>
      </c>
      <c r="J8" s="10" t="s">
        <v>93</v>
      </c>
      <c r="K8" s="10" t="str">
        <f aca="false">J8&amp;" | Virtualsphere"</f>
        <v>UHF RFID Labels | Virtualsphere</v>
      </c>
      <c r="L8" s="12" t="n">
        <f aca="false">IF(K8="","",LEN(K8))</f>
        <v>31</v>
      </c>
      <c r="M8" s="13" t="inlineStr">
        <is>
          <t xml:space="preserve">Fixed</t>
        </is>
      </c>
      <c r="N8" s="13"/>
      <c r="O8" s="13" t="inlineStr">
        <is>
          <t xml:space="preserve">Already fixed before 9 Oct 2026 (commit 09f194b, 7 Oct): each category page gets its own title from CATEGORY_TITLES (src/app/(public)/products/page.tsx).
Checked live 9 Oct 2026: title is 'UHF RFID Labels | Virtualsphere' (31 chars), unique among all pages.</t>
        </is>
      </c>
    </row>
    <row r="9" customFormat="false" ht="68.65" hidden="false" customHeight="false" outlineLevel="0" collapsed="false">
      <c r="A9" s="10" t="s">
        <v>94</v>
      </c>
      <c r="B9" s="10" t="s">
        <v>13</v>
      </c>
      <c r="C9" s="10" t="s">
        <v>68</v>
      </c>
      <c r="D9" s="10" t="s">
        <v>95</v>
      </c>
      <c r="E9" s="11" t="s">
        <v>96</v>
      </c>
      <c r="F9" s="10" t="s">
        <v>18</v>
      </c>
      <c r="G9" s="10" t="s">
        <v>71</v>
      </c>
      <c r="H9" s="10" t="s">
        <v>97</v>
      </c>
      <c r="I9" s="10" t="s">
        <v>73</v>
      </c>
      <c r="J9" s="10" t="s">
        <v>95</v>
      </c>
      <c r="K9" s="10" t="str">
        <f aca="false">J9&amp;" | Virtualsphere"</f>
        <v>RFID Laundry Tags | Virtualsphere</v>
      </c>
      <c r="L9" s="12" t="n">
        <f aca="false">IF(K9="","",LEN(K9))</f>
        <v>33</v>
      </c>
      <c r="M9" s="13" t="inlineStr">
        <is>
          <t xml:space="preserve">Fixed</t>
        </is>
      </c>
      <c r="N9" s="13"/>
      <c r="O9" s="13" t="inlineStr">
        <is>
          <t xml:space="preserve">Already fixed before 9 Oct 2026 (commit 09f194b, 7 Oct): each category page gets its own title from CATEGORY_TITLES (src/app/(public)/products/page.tsx).
Checked live 9 Oct 2026: title is 'RFID Laundry Tags | Virtualsphere' (33 chars), unique among all pages. Checked at the renamed URL /products?category=rfid-laundry-tags (see T039).</t>
        </is>
      </c>
    </row>
    <row r="10" customFormat="false" ht="68.65" hidden="false" customHeight="false" outlineLevel="0" collapsed="false">
      <c r="A10" s="10" t="s">
        <v>98</v>
      </c>
      <c r="B10" s="10" t="s">
        <v>13</v>
      </c>
      <c r="C10" s="10" t="s">
        <v>68</v>
      </c>
      <c r="D10" s="10" t="s">
        <v>99</v>
      </c>
      <c r="E10" s="11" t="s">
        <v>100</v>
      </c>
      <c r="F10" s="10" t="s">
        <v>18</v>
      </c>
      <c r="G10" s="10" t="s">
        <v>71</v>
      </c>
      <c r="H10" s="10" t="s">
        <v>101</v>
      </c>
      <c r="I10" s="10" t="s">
        <v>73</v>
      </c>
      <c r="J10" s="10" t="s">
        <v>102</v>
      </c>
      <c r="K10" s="10" t="str">
        <f aca="false">J10&amp;" | Virtualsphere"</f>
        <v>UHF RFID Inlays – Dry &amp; Wet | Virtualsphere</v>
      </c>
      <c r="L10" s="12" t="n">
        <f aca="false">IF(K10="","",LEN(K10))</f>
        <v>43</v>
      </c>
      <c r="M10" s="13" t="inlineStr">
        <is>
          <t xml:space="preserve">Fixed</t>
        </is>
      </c>
      <c r="N10" s="13"/>
      <c r="O10" s="13" t="inlineStr">
        <is>
          <t xml:space="preserve">Already fixed before 9 Oct 2026 (commit 09f194b, 7 Oct): each category page gets its own title from CATEGORY_TITLES (src/app/(public)/products/page.tsx).
Checked live 9 Oct 2026: title is 'UHF RFID Inlays - Dry &amp; Wet | Virtualsphere' (43 chars), unique among all pages. Same text as suggested but with a hyphen instead of the en dash.</t>
        </is>
      </c>
    </row>
    <row r="11" customFormat="false" ht="68.65" hidden="false" customHeight="false" outlineLevel="0" collapsed="false">
      <c r="A11" s="10" t="s">
        <v>103</v>
      </c>
      <c r="B11" s="10" t="s">
        <v>13</v>
      </c>
      <c r="C11" s="10" t="s">
        <v>68</v>
      </c>
      <c r="D11" s="10" t="s">
        <v>104</v>
      </c>
      <c r="E11" s="11" t="s">
        <v>105</v>
      </c>
      <c r="F11" s="10" t="s">
        <v>18</v>
      </c>
      <c r="G11" s="10" t="s">
        <v>71</v>
      </c>
      <c r="H11" s="10" t="s">
        <v>106</v>
      </c>
      <c r="I11" s="10" t="s">
        <v>73</v>
      </c>
      <c r="J11" s="10" t="s">
        <v>107</v>
      </c>
      <c r="K11" s="10" t="str">
        <f aca="false">J11&amp;" | Virtualsphere"</f>
        <v>UHF RFID ABS Hard Tags | Virtualsphere</v>
      </c>
      <c r="L11" s="12" t="n">
        <f aca="false">IF(K11="","",LEN(K11))</f>
        <v>38</v>
      </c>
      <c r="M11" s="13" t="inlineStr">
        <is>
          <t xml:space="preserve">Fixed</t>
        </is>
      </c>
      <c r="N11" s="13"/>
      <c r="O11" s="13" t="inlineStr">
        <is>
          <t xml:space="preserve">Already fixed before 9 Oct 2026 (commit 09f194b, 7 Oct): each category page gets its own title from CATEGORY_TITLES (src/app/(public)/products/page.tsx).
Checked live 9 Oct 2026: title is 'UHF RFID ABS Hard Tags | Virtualsphere' (38 chars), unique among all pages.</t>
        </is>
      </c>
    </row>
    <row r="12" customFormat="false" ht="68.65" hidden="false" customHeight="false" outlineLevel="0" collapsed="false">
      <c r="A12" s="10" t="s">
        <v>108</v>
      </c>
      <c r="B12" s="10" t="s">
        <v>13</v>
      </c>
      <c r="C12" s="10" t="s">
        <v>68</v>
      </c>
      <c r="D12" s="10" t="s">
        <v>109</v>
      </c>
      <c r="E12" s="11" t="s">
        <v>110</v>
      </c>
      <c r="F12" s="10" t="s">
        <v>18</v>
      </c>
      <c r="G12" s="10" t="s">
        <v>71</v>
      </c>
      <c r="H12" s="10" t="s">
        <v>111</v>
      </c>
      <c r="I12" s="10" t="s">
        <v>73</v>
      </c>
      <c r="J12" s="10" t="s">
        <v>112</v>
      </c>
      <c r="K12" s="10" t="str">
        <f aca="false">J12&amp;" | Virtualsphere"</f>
        <v>UHF RFID Antennas | Virtualsphere</v>
      </c>
      <c r="L12" s="12" t="n">
        <f aca="false">IF(K12="","",LEN(K12))</f>
        <v>33</v>
      </c>
      <c r="M12" s="13" t="inlineStr">
        <is>
          <t xml:space="preserve">Fixed</t>
        </is>
      </c>
      <c r="N12" s="13"/>
      <c r="O12" s="13" t="inlineStr">
        <is>
          <t xml:space="preserve">Already fixed before 9 Oct 2026 (commit 09f194b, 7 Oct): each category page gets its own title from CATEGORY_TITLES (src/app/(public)/products/page.tsx).
Checked live 9 Oct 2026: title is 'UHF RFID Antennas | Virtualsphere' (33 chars), unique among all pages.</t>
        </is>
      </c>
    </row>
    <row r="13" customFormat="false" ht="68.65" hidden="false" customHeight="false" outlineLevel="0" collapsed="false">
      <c r="A13" s="10" t="s">
        <v>113</v>
      </c>
      <c r="B13" s="10" t="s">
        <v>13</v>
      </c>
      <c r="C13" s="10" t="s">
        <v>68</v>
      </c>
      <c r="D13" s="10" t="s">
        <v>114</v>
      </c>
      <c r="E13" s="11" t="s">
        <v>115</v>
      </c>
      <c r="F13" s="10" t="s">
        <v>18</v>
      </c>
      <c r="G13" s="10" t="s">
        <v>71</v>
      </c>
      <c r="H13" s="10" t="s">
        <v>116</v>
      </c>
      <c r="I13" s="10" t="s">
        <v>73</v>
      </c>
      <c r="J13" s="10" t="s">
        <v>117</v>
      </c>
      <c r="K13" s="10" t="str">
        <f aca="false">J13&amp;" | Virtualsphere"</f>
        <v>UHF RFID Handheld Readers | Virtualsphere</v>
      </c>
      <c r="L13" s="12" t="n">
        <f aca="false">IF(K13="","",LEN(K13))</f>
        <v>41</v>
      </c>
      <c r="M13" s="13" t="inlineStr">
        <is>
          <t xml:space="preserve">Fixed</t>
        </is>
      </c>
      <c r="N13" s="13"/>
      <c r="O13" s="13" t="inlineStr">
        <is>
          <t xml:space="preserve">Already fixed before 9 Oct 2026 (commit 09f194b, 7 Oct): each category page gets its own title from CATEGORY_TITLES (src/app/(public)/products/page.tsx).
Checked live 9 Oct 2026: title is 'UHF RFID Handheld Readers | Virtualsphere' (41 chars), unique among all pages.</t>
        </is>
      </c>
    </row>
    <row r="14" customFormat="false" ht="68.65" hidden="false" customHeight="false" outlineLevel="0" collapsed="false">
      <c r="A14" s="10" t="s">
        <v>118</v>
      </c>
      <c r="B14" s="10" t="s">
        <v>13</v>
      </c>
      <c r="C14" s="10" t="s">
        <v>68</v>
      </c>
      <c r="D14" s="10" t="s">
        <v>119</v>
      </c>
      <c r="E14" s="11" t="s">
        <v>120</v>
      </c>
      <c r="F14" s="10" t="s">
        <v>18</v>
      </c>
      <c r="G14" s="10" t="s">
        <v>71</v>
      </c>
      <c r="H14" s="10" t="s">
        <v>121</v>
      </c>
      <c r="I14" s="10" t="s">
        <v>73</v>
      </c>
      <c r="J14" s="10" t="s">
        <v>122</v>
      </c>
      <c r="K14" s="10" t="str">
        <f aca="false">J14&amp;" | Virtualsphere"</f>
        <v>UHF RFID Desktop Readers &amp; Writers | Virtualsphere</v>
      </c>
      <c r="L14" s="12" t="n">
        <f aca="false">IF(K14="","",LEN(K14))</f>
        <v>50</v>
      </c>
      <c r="M14" s="13" t="inlineStr">
        <is>
          <t xml:space="preserve">Fixed</t>
        </is>
      </c>
      <c r="N14" s="13"/>
      <c r="O14" s="13" t="inlineStr">
        <is>
          <t xml:space="preserve">Already fixed before 9 Oct 2026 (commit 09f194b, 7 Oct): each category page gets its own title from CATEGORY_TITLES (src/app/(public)/products/page.tsx).
Checked live 9 Oct 2026: title is 'UHF RFID Desktop Readers &amp; Writers | Virtualsphere' (50 chars), unique among all pages.</t>
        </is>
      </c>
    </row>
    <row r="15" customFormat="false" ht="68.65" hidden="false" customHeight="false" outlineLevel="0" collapsed="false">
      <c r="A15" s="10" t="s">
        <v>123</v>
      </c>
      <c r="B15" s="10" t="s">
        <v>13</v>
      </c>
      <c r="C15" s="10" t="s">
        <v>68</v>
      </c>
      <c r="D15" s="10" t="s">
        <v>124</v>
      </c>
      <c r="E15" s="11" t="s">
        <v>125</v>
      </c>
      <c r="F15" s="10" t="s">
        <v>18</v>
      </c>
      <c r="G15" s="10" t="s">
        <v>71</v>
      </c>
      <c r="H15" s="10" t="s">
        <v>126</v>
      </c>
      <c r="I15" s="10" t="s">
        <v>73</v>
      </c>
      <c r="J15" s="10" t="s">
        <v>127</v>
      </c>
      <c r="K15" s="10" t="str">
        <f aca="false">J15&amp;" | Virtualsphere"</f>
        <v>HF 13.56 MHz RFID Readers | Virtualsphere</v>
      </c>
      <c r="L15" s="12" t="n">
        <f aca="false">IF(K15="","",LEN(K15))</f>
        <v>41</v>
      </c>
      <c r="M15" s="13" t="inlineStr">
        <is>
          <t xml:space="preserve">Fixed</t>
        </is>
      </c>
      <c r="N15" s="13"/>
      <c r="O15" s="13" t="inlineStr">
        <is>
          <t xml:space="preserve">Already fixed before 9 Oct 2026 (commit 09f194b, 7 Oct): each category page gets its own title from CATEGORY_TITLES (src/app/(public)/products/page.tsx).
Checked live 9 Oct 2026: title is 'HF 13.56 MHz RFID Readers | Virtualsphere' (41 chars), unique among all pages.</t>
        </is>
      </c>
    </row>
    <row r="16" customFormat="false" ht="68.65" hidden="false" customHeight="false" outlineLevel="0" collapsed="false">
      <c r="A16" s="10" t="s">
        <v>128</v>
      </c>
      <c r="B16" s="10" t="s">
        <v>13</v>
      </c>
      <c r="C16" s="10" t="s">
        <v>68</v>
      </c>
      <c r="D16" s="10" t="s">
        <v>129</v>
      </c>
      <c r="E16" s="11" t="s">
        <v>130</v>
      </c>
      <c r="F16" s="10" t="s">
        <v>18</v>
      </c>
      <c r="G16" s="10" t="s">
        <v>71</v>
      </c>
      <c r="H16" s="10" t="s">
        <v>131</v>
      </c>
      <c r="I16" s="10" t="s">
        <v>73</v>
      </c>
      <c r="J16" s="10" t="s">
        <v>132</v>
      </c>
      <c r="K16" s="10" t="str">
        <f aca="false">J16&amp;" | Virtualsphere"</f>
        <v>LF &amp; HF RFID USB Pendrive Readers | Virtualsphere</v>
      </c>
      <c r="L16" s="12" t="n">
        <f aca="false">IF(K16="","",LEN(K16))</f>
        <v>49</v>
      </c>
      <c r="M16" s="13" t="inlineStr">
        <is>
          <t xml:space="preserve">Fixed</t>
        </is>
      </c>
      <c r="N16" s="13"/>
      <c r="O16" s="13" t="inlineStr">
        <is>
          <t xml:space="preserve">Already fixed before 9 Oct 2026 (commit 09f194b, 7 Oct): each category page gets its own title from CATEGORY_TITLES (src/app/(public)/products/page.tsx).
Checked live 9 Oct 2026: title is 'LF &amp; HF RFID USB Pendrive Readers | Virtualsphere' (49 chars), unique among all pages.</t>
        </is>
      </c>
    </row>
    <row r="17" customFormat="false" ht="68.65" hidden="false" customHeight="false" outlineLevel="0" collapsed="false">
      <c r="A17" s="10" t="s">
        <v>133</v>
      </c>
      <c r="B17" s="10" t="s">
        <v>13</v>
      </c>
      <c r="C17" s="10" t="s">
        <v>134</v>
      </c>
      <c r="D17" s="10" t="s">
        <v>135</v>
      </c>
      <c r="E17" s="11" t="s">
        <v>136</v>
      </c>
      <c r="F17" s="10" t="s">
        <v>16</v>
      </c>
      <c r="G17" s="10" t="s">
        <v>137</v>
      </c>
      <c r="H17" s="10" t="s">
        <v>138</v>
      </c>
      <c r="I17" s="10" t="s">
        <v>139</v>
      </c>
      <c r="J17" s="10" t="s">
        <v>140</v>
      </c>
      <c r="K17" s="10" t="str">
        <f aca="false">J17&amp;" | Virtualsphere"</f>
        <v>Desktop Barcode Label Printer | Virtualsphere</v>
      </c>
      <c r="L17" s="12" t="n">
        <f aca="false">IF(K17="","",LEN(K17))</f>
        <v>45</v>
      </c>
      <c r="M17" s="13" t="inlineStr">
        <is>
          <t xml:space="preserve">Fixed</t>
        </is>
      </c>
      <c r="N17" s="13"/>
      <c r="O17"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'Desktop Barcode Label Printer | Virtualsphere' (45 chars, brand once).</t>
        </is>
      </c>
    </row>
    <row r="18" customFormat="false" ht="68.65" hidden="false" customHeight="false" outlineLevel="0" collapsed="false">
      <c r="A18" s="10" t="s">
        <v>141</v>
      </c>
      <c r="B18" s="10" t="s">
        <v>13</v>
      </c>
      <c r="C18" s="10" t="s">
        <v>134</v>
      </c>
      <c r="D18" s="10" t="s">
        <v>142</v>
      </c>
      <c r="E18" s="11" t="s">
        <v>143</v>
      </c>
      <c r="F18" s="10" t="s">
        <v>16</v>
      </c>
      <c r="G18" s="10" t="s">
        <v>144</v>
      </c>
      <c r="H18" s="10" t="s">
        <v>138</v>
      </c>
      <c r="I18" s="10" t="s">
        <v>139</v>
      </c>
      <c r="J18" s="10" t="s">
        <v>145</v>
      </c>
      <c r="K18" s="10" t="str">
        <f aca="false">J18&amp;" | Virtualsphere"</f>
        <v>HRD 13 HF 13.56MHz USB Desktop RFID Reader | Virtualsphere</v>
      </c>
      <c r="L18" s="12" t="n">
        <f aca="false">IF(K18="","",LEN(K18))</f>
        <v>58</v>
      </c>
      <c r="M18" s="13" t="inlineStr">
        <is>
          <t xml:space="preserve">Fixed</t>
        </is>
      </c>
      <c r="N18" s="13"/>
      <c r="O18"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'HRD 13 HF 13.56MHz USB Desktop RFID Reader | Virtualsphere' (58 chars, brand once).</t>
        </is>
      </c>
    </row>
    <row r="19" customFormat="false" ht="68.65" hidden="false" customHeight="false" outlineLevel="0" collapsed="false">
      <c r="A19" s="10" t="s">
        <v>146</v>
      </c>
      <c r="B19" s="10" t="s">
        <v>13</v>
      </c>
      <c r="C19" s="10" t="s">
        <v>134</v>
      </c>
      <c r="D19" s="10" t="s">
        <v>147</v>
      </c>
      <c r="E19" s="11" t="s">
        <v>148</v>
      </c>
      <c r="F19" s="10" t="s">
        <v>16</v>
      </c>
      <c r="G19" s="10" t="s">
        <v>149</v>
      </c>
      <c r="H19" s="10" t="s">
        <v>138</v>
      </c>
      <c r="I19" s="10" t="s">
        <v>139</v>
      </c>
      <c r="J19" s="10" t="s">
        <v>150</v>
      </c>
      <c r="K19" s="10" t="str">
        <f aca="false">J19&amp;" | Virtualsphere"</f>
        <v>LRP 70 125KHz LF RFID USB Pendrive Reader | Virtualsphere</v>
      </c>
      <c r="L19" s="12" t="n">
        <f aca="false">IF(K19="","",LEN(K19))</f>
        <v>57</v>
      </c>
      <c r="M19" s="13" t="inlineStr">
        <is>
          <t xml:space="preserve">Fixed</t>
        </is>
      </c>
      <c r="N19" s="13"/>
      <c r="O19"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'LRP 70 125KHz LF RFID USB Pendrive Reader | Virtualsphere' (57 chars, brand once).</t>
        </is>
      </c>
    </row>
    <row r="20" customFormat="false" ht="68.65" hidden="false" customHeight="false" outlineLevel="0" collapsed="false">
      <c r="A20" s="10" t="s">
        <v>151</v>
      </c>
      <c r="B20" s="10" t="s">
        <v>13</v>
      </c>
      <c r="C20" s="10" t="s">
        <v>134</v>
      </c>
      <c r="D20" s="10" t="s">
        <v>152</v>
      </c>
      <c r="E20" s="11" t="s">
        <v>153</v>
      </c>
      <c r="F20" s="10" t="s">
        <v>16</v>
      </c>
      <c r="G20" s="10" t="s">
        <v>154</v>
      </c>
      <c r="H20" s="10" t="s">
        <v>138</v>
      </c>
      <c r="I20" s="10" t="s">
        <v>139</v>
      </c>
      <c r="J20" s="10" t="s">
        <v>155</v>
      </c>
      <c r="K20" s="10" t="str">
        <f aca="false">J20&amp;" | Virtualsphere"</f>
        <v>UA9 9dBi Circular UHF RFID Antenna, IP67 | Virtualsphere</v>
      </c>
      <c r="L20" s="12" t="n">
        <f aca="false">IF(K20="","",LEN(K20))</f>
        <v>56</v>
      </c>
      <c r="M20" s="13" t="inlineStr">
        <is>
          <t xml:space="preserve">Fixed</t>
        </is>
      </c>
      <c r="N20" s="13"/>
      <c r="O20"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'UA9 9dBi Circular UHF RFID Antenna, IP67 | Virtualsphere' (56 chars, brand once).</t>
        </is>
      </c>
    </row>
    <row r="21" customFormat="false" ht="68.65" hidden="false" customHeight="false" outlineLevel="0" collapsed="false">
      <c r="A21" s="10" t="s">
        <v>156</v>
      </c>
      <c r="B21" s="10" t="s">
        <v>13</v>
      </c>
      <c r="C21" s="10" t="s">
        <v>134</v>
      </c>
      <c r="D21" s="10" t="s">
        <v>157</v>
      </c>
      <c r="E21" s="11" t="s">
        <v>158</v>
      </c>
      <c r="F21" s="10" t="s">
        <v>16</v>
      </c>
      <c r="G21" s="10" t="s">
        <v>159</v>
      </c>
      <c r="H21" s="10" t="s">
        <v>138</v>
      </c>
      <c r="I21" s="10" t="s">
        <v>139</v>
      </c>
      <c r="J21" s="10" t="s">
        <v>160</v>
      </c>
      <c r="K21" s="10" t="str">
        <f aca="false">J21&amp;" | Virtualsphere"</f>
        <v>UCA3 3dBi Ceramic UHF RFID Patch Antenna | Virtualsphere</v>
      </c>
      <c r="L21" s="12" t="n">
        <f aca="false">IF(K21="","",LEN(K21))</f>
        <v>56</v>
      </c>
      <c r="M21" s="13" t="inlineStr">
        <is>
          <t xml:space="preserve">Fixed</t>
        </is>
      </c>
      <c r="N21" s="13"/>
      <c r="O21"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'UCA3 3dBi Ceramic UHF RFID Patch Antenna | Virtualsphere' (56 chars, brand once).</t>
        </is>
      </c>
    </row>
    <row r="22" customFormat="false" ht="68.65" hidden="false" customHeight="false" outlineLevel="0" collapsed="false">
      <c r="A22" s="10" t="s">
        <v>161</v>
      </c>
      <c r="B22" s="10" t="s">
        <v>13</v>
      </c>
      <c r="C22" s="10" t="s">
        <v>134</v>
      </c>
      <c r="D22" s="10" t="s">
        <v>162</v>
      </c>
      <c r="E22" s="11" t="s">
        <v>163</v>
      </c>
      <c r="F22" s="10" t="s">
        <v>16</v>
      </c>
      <c r="G22" s="10" t="s">
        <v>164</v>
      </c>
      <c r="H22" s="10" t="s">
        <v>138</v>
      </c>
      <c r="I22" s="10" t="s">
        <v>139</v>
      </c>
      <c r="J22" s="10" t="s">
        <v>165</v>
      </c>
      <c r="K22" s="10" t="str">
        <f aca="false">J22&amp;" | Virtualsphere"</f>
        <v>UDR-W101 UHF RFID Desktop Reader &amp; Writer | Virtualsphere</v>
      </c>
      <c r="L22" s="12" t="n">
        <f aca="false">IF(K22="","",LEN(K22))</f>
        <v>57</v>
      </c>
      <c r="M22" s="13" t="inlineStr">
        <is>
          <t xml:space="preserve">Fixed</t>
        </is>
      </c>
      <c r="N22" s="13"/>
      <c r="O22"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'UDR-W101 UHF RFID Desktop Reader &amp; Writer | Virtualsphere' (57 chars, brand once).</t>
        </is>
      </c>
    </row>
    <row r="23" customFormat="false" ht="68.65" hidden="false" customHeight="false" outlineLevel="0" collapsed="false">
      <c r="A23" s="10" t="s">
        <v>166</v>
      </c>
      <c r="B23" s="10" t="s">
        <v>13</v>
      </c>
      <c r="C23" s="10" t="s">
        <v>134</v>
      </c>
      <c r="D23" s="10" t="s">
        <v>167</v>
      </c>
      <c r="E23" s="11" t="s">
        <v>168</v>
      </c>
      <c r="F23" s="10" t="s">
        <v>16</v>
      </c>
      <c r="G23" s="10" t="s">
        <v>169</v>
      </c>
      <c r="H23" s="10" t="s">
        <v>138</v>
      </c>
      <c r="I23" s="10" t="s">
        <v>139</v>
      </c>
      <c r="J23" s="10" t="s">
        <v>170</v>
      </c>
      <c r="K23" s="10" t="str">
        <f aca="false">J23&amp;" | Virtualsphere"</f>
        <v>UDT9R RFID Jewellery Tray Reader, Bluetooth | Virtualsphere</v>
      </c>
      <c r="L23" s="12" t="n">
        <f aca="false">IF(K23="","",LEN(K23))</f>
        <v>59</v>
      </c>
      <c r="M23" s="13" t="inlineStr">
        <is>
          <t xml:space="preserve">Fixed</t>
        </is>
      </c>
      <c r="N23" s="13"/>
      <c r="O23"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'UDT9R RFID Jewellery Tray Reader, Bluetooth | Virtualsphere' (59 chars, brand once).</t>
        </is>
      </c>
    </row>
    <row r="24" customFormat="false" ht="68.65" hidden="false" customHeight="false" outlineLevel="0" collapsed="false">
      <c r="A24" s="10" t="s">
        <v>171</v>
      </c>
      <c r="B24" s="10" t="s">
        <v>13</v>
      </c>
      <c r="C24" s="10" t="s">
        <v>134</v>
      </c>
      <c r="D24" s="10" t="s">
        <v>172</v>
      </c>
      <c r="E24" s="11" t="s">
        <v>173</v>
      </c>
      <c r="F24" s="10" t="s">
        <v>16</v>
      </c>
      <c r="G24" s="10" t="s">
        <v>174</v>
      </c>
      <c r="H24" s="10" t="s">
        <v>138</v>
      </c>
      <c r="I24" s="10" t="s">
        <v>139</v>
      </c>
      <c r="J24" s="10" t="s">
        <v>175</v>
      </c>
      <c r="K24" s="10" t="str">
        <f aca="false">J24&amp;" | Virtualsphere"</f>
        <v>UHR2 Android UHF RFID Handheld Reader, 20m | Virtualsphere</v>
      </c>
      <c r="L24" s="12" t="n">
        <f aca="false">IF(K24="","",LEN(K24))</f>
        <v>58</v>
      </c>
      <c r="M24" s="13" t="inlineStr">
        <is>
          <t xml:space="preserve">Fixed</t>
        </is>
      </c>
      <c r="N24" s="13"/>
      <c r="O24"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'UHR2 Android UHF RFID Handheld Reader, 20m | Virtualsphere' (58 chars, brand once).</t>
        </is>
      </c>
    </row>
    <row r="25" customFormat="false" ht="68.65" hidden="false" customHeight="false" outlineLevel="0" collapsed="false">
      <c r="A25" s="10" t="s">
        <v>176</v>
      </c>
      <c r="B25" s="10" t="s">
        <v>13</v>
      </c>
      <c r="C25" s="10" t="s">
        <v>134</v>
      </c>
      <c r="D25" s="10" t="s">
        <v>177</v>
      </c>
      <c r="E25" s="11" t="s">
        <v>178</v>
      </c>
      <c r="F25" s="10" t="s">
        <v>16</v>
      </c>
      <c r="G25" s="10" t="s">
        <v>179</v>
      </c>
      <c r="H25" s="10" t="s">
        <v>138</v>
      </c>
      <c r="I25" s="10" t="s">
        <v>139</v>
      </c>
      <c r="J25" s="10" t="s">
        <v>180</v>
      </c>
      <c r="K25" s="10" t="str">
        <f aca="false">J25&amp;" | Virtualsphere"</f>
        <v>VST-9662 UHF RFID Inlay, Alien Higgs-3 | Virtualsphere</v>
      </c>
      <c r="L25" s="12" t="n">
        <f aca="false">IF(K25="","",LEN(K25))</f>
        <v>54</v>
      </c>
      <c r="M25" s="13" t="inlineStr">
        <is>
          <t xml:space="preserve">Fixed</t>
        </is>
      </c>
      <c r="N25" s="13"/>
      <c r="O25"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'VST-9662 UHF RFID Inlay, Alien Higgs-3 | Virtualsphere' (54 chars, brand once).</t>
        </is>
      </c>
    </row>
    <row r="26" customFormat="false" ht="68.65" hidden="false" customHeight="false" outlineLevel="0" collapsed="false">
      <c r="A26" s="10" t="s">
        <v>181</v>
      </c>
      <c r="B26" s="10" t="s">
        <v>13</v>
      </c>
      <c r="C26" s="10" t="s">
        <v>134</v>
      </c>
      <c r="D26" s="10" t="s">
        <v>182</v>
      </c>
      <c r="E26" s="11" t="s">
        <v>183</v>
      </c>
      <c r="F26" s="10" t="s">
        <v>16</v>
      </c>
      <c r="G26" s="10" t="s">
        <v>184</v>
      </c>
      <c r="H26" s="10" t="s">
        <v>138</v>
      </c>
      <c r="I26" s="10" t="s">
        <v>139</v>
      </c>
      <c r="J26" s="10" t="s">
        <v>185</v>
      </c>
      <c r="K26" s="10" t="str">
        <f aca="false">J26&amp;" | Virtualsphere"</f>
        <v>PBR3 Bluetooth UHF RFID Portable Reader | Virtualsphere</v>
      </c>
      <c r="L26" s="12" t="n">
        <f aca="false">IF(K26="","",LEN(K26))</f>
        <v>55</v>
      </c>
      <c r="M26" s="13" t="inlineStr">
        <is>
          <t xml:space="preserve">Fixed</t>
        </is>
      </c>
      <c r="N26" s="13"/>
      <c r="O26"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'PBR3 Bluetooth UHF RFID Portable Reader | Virtualsphere' (55 chars, brand once).</t>
        </is>
      </c>
    </row>
    <row r="27" customFormat="false" ht="68.65" hidden="false" customHeight="false" outlineLevel="0" collapsed="false">
      <c r="A27" s="10" t="s">
        <v>186</v>
      </c>
      <c r="B27" s="10" t="s">
        <v>13</v>
      </c>
      <c r="C27" s="10" t="s">
        <v>134</v>
      </c>
      <c r="D27" s="10" t="s">
        <v>187</v>
      </c>
      <c r="E27" s="11" t="s">
        <v>188</v>
      </c>
      <c r="F27" s="10" t="s">
        <v>16</v>
      </c>
      <c r="G27" s="10" t="s">
        <v>189</v>
      </c>
      <c r="H27" s="10" t="s">
        <v>138</v>
      </c>
      <c r="I27" s="10" t="s">
        <v>139</v>
      </c>
      <c r="J27" s="10" t="s">
        <v>190</v>
      </c>
      <c r="K27" s="10" t="str">
        <f aca="false">J27&amp;" | Virtualsphere"</f>
        <v>UA12 12dBi Circular UHF RFID Antenna | Virtualsphere</v>
      </c>
      <c r="L27" s="12" t="n">
        <f aca="false">IF(K27="","",LEN(K27))</f>
        <v>52</v>
      </c>
      <c r="M27" s="13" t="inlineStr">
        <is>
          <t xml:space="preserve">Fixed</t>
        </is>
      </c>
      <c r="N27" s="13"/>
      <c r="O27"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'UA12 12dBi Circular UHF RFID Antenna | Virtualsphere' (52 chars, brand once).</t>
        </is>
      </c>
    </row>
    <row r="28" customFormat="false" ht="68.65" hidden="false" customHeight="false" outlineLevel="0" collapsed="false">
      <c r="A28" s="10" t="s">
        <v>191</v>
      </c>
      <c r="B28" s="10" t="s">
        <v>13</v>
      </c>
      <c r="C28" s="10" t="s">
        <v>134</v>
      </c>
      <c r="D28" s="10" t="s">
        <v>192</v>
      </c>
      <c r="E28" s="11" t="s">
        <v>193</v>
      </c>
      <c r="F28" s="10" t="s">
        <v>16</v>
      </c>
      <c r="G28" s="10" t="s">
        <v>194</v>
      </c>
      <c r="H28" s="10" t="s">
        <v>138</v>
      </c>
      <c r="I28" s="10" t="s">
        <v>139</v>
      </c>
      <c r="J28" s="10" t="s">
        <v>195</v>
      </c>
      <c r="K28" s="10" t="str">
        <f aca="false">J28&amp;" | Virtualsphere"</f>
        <v>UHR 5 UHF RFID Handheld Reader with NFC | Virtualsphere</v>
      </c>
      <c r="L28" s="12" t="n">
        <f aca="false">IF(K28="","",LEN(K28))</f>
        <v>55</v>
      </c>
      <c r="M28" s="13" t="inlineStr">
        <is>
          <t xml:space="preserve">Fixed</t>
        </is>
      </c>
      <c r="N28" s="13"/>
      <c r="O28"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'UHR 5 UHF RFID Handheld Reader with NFC | Virtualsphere' (55 chars, brand once).</t>
        </is>
      </c>
    </row>
    <row r="29" customFormat="false" ht="67.5" hidden="false" customHeight="false" outlineLevel="0" collapsed="false">
      <c r="A29" s="10" t="s">
        <v>196</v>
      </c>
      <c r="B29" s="10" t="s">
        <v>13</v>
      </c>
      <c r="C29" s="10" t="s">
        <v>134</v>
      </c>
      <c r="D29" s="10" t="s">
        <v>142</v>
      </c>
      <c r="E29" s="11" t="s">
        <v>143</v>
      </c>
      <c r="F29" s="10" t="s">
        <v>19</v>
      </c>
      <c r="G29" s="10" t="s">
        <v>144</v>
      </c>
      <c r="H29" s="10" t="s">
        <v>197</v>
      </c>
      <c r="I29" s="10" t="s">
        <v>198</v>
      </c>
      <c r="J29" s="10" t="s">
        <v>145</v>
      </c>
      <c r="K29" s="10" t="str">
        <f aca="false">J29&amp;" | Virtualsphere"</f>
        <v>HRD 13 HF 13.56MHz USB Desktop RFID Reader | Virtualsphere</v>
      </c>
      <c r="L29" s="12" t="n">
        <f aca="false">IF(K29="","",LEN(K29))</f>
        <v>58</v>
      </c>
      <c r="M29" s="13" t="inlineStr">
        <is>
          <t xml:space="preserve">Fixed</t>
        </is>
      </c>
      <c r="N29" s="13"/>
      <c r="O29"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'HRD 13 HF 13.56MHz USB Desktop RFID Reader | Virtualsphere' (58 chars, brand once).</t>
        </is>
      </c>
    </row>
    <row r="30" customFormat="false" ht="67.5" hidden="false" customHeight="false" outlineLevel="0" collapsed="false">
      <c r="A30" s="10" t="s">
        <v>199</v>
      </c>
      <c r="B30" s="10" t="s">
        <v>13</v>
      </c>
      <c r="C30" s="10" t="s">
        <v>134</v>
      </c>
      <c r="D30" s="10" t="s">
        <v>152</v>
      </c>
      <c r="E30" s="11" t="s">
        <v>153</v>
      </c>
      <c r="F30" s="10" t="s">
        <v>19</v>
      </c>
      <c r="G30" s="10" t="s">
        <v>154</v>
      </c>
      <c r="H30" s="10" t="s">
        <v>197</v>
      </c>
      <c r="I30" s="10" t="s">
        <v>198</v>
      </c>
      <c r="J30" s="10" t="s">
        <v>155</v>
      </c>
      <c r="K30" s="10" t="str">
        <f aca="false">J30&amp;" | Virtualsphere"</f>
        <v>UA9 9dBi Circular UHF RFID Antenna, IP67 | Virtualsphere</v>
      </c>
      <c r="L30" s="12" t="n">
        <f aca="false">IF(K30="","",LEN(K30))</f>
        <v>56</v>
      </c>
      <c r="M30" s="13" t="inlineStr">
        <is>
          <t xml:space="preserve">Fixed</t>
        </is>
      </c>
      <c r="N30" s="13"/>
      <c r="O30"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'UA9 9dBi Circular UHF RFID Antenna, IP67 | Virtualsphere' (56 chars, brand once).</t>
        </is>
      </c>
    </row>
    <row r="31" customFormat="false" ht="67.5" hidden="false" customHeight="false" outlineLevel="0" collapsed="false">
      <c r="A31" s="10" t="s">
        <v>200</v>
      </c>
      <c r="B31" s="10" t="s">
        <v>13</v>
      </c>
      <c r="C31" s="10" t="s">
        <v>134</v>
      </c>
      <c r="D31" s="10" t="s">
        <v>157</v>
      </c>
      <c r="E31" s="11" t="s">
        <v>158</v>
      </c>
      <c r="F31" s="10" t="s">
        <v>19</v>
      </c>
      <c r="G31" s="10" t="s">
        <v>159</v>
      </c>
      <c r="H31" s="10" t="s">
        <v>197</v>
      </c>
      <c r="I31" s="10" t="s">
        <v>198</v>
      </c>
      <c r="J31" s="10" t="s">
        <v>160</v>
      </c>
      <c r="K31" s="10" t="str">
        <f aca="false">J31&amp;" | Virtualsphere"</f>
        <v>UCA3 3dBi Ceramic UHF RFID Patch Antenna | Virtualsphere</v>
      </c>
      <c r="L31" s="12" t="n">
        <f aca="false">IF(K31="","",LEN(K31))</f>
        <v>56</v>
      </c>
      <c r="M31" s="13" t="inlineStr">
        <is>
          <t xml:space="preserve">Fixed</t>
        </is>
      </c>
      <c r="N31" s="13"/>
      <c r="O31"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'UCA3 3dBi Ceramic UHF RFID Patch Antenna | Virtualsphere' (56 chars, brand once).</t>
        </is>
      </c>
    </row>
    <row r="32" customFormat="false" ht="67.5" hidden="false" customHeight="false" outlineLevel="0" collapsed="false">
      <c r="A32" s="10" t="s">
        <v>201</v>
      </c>
      <c r="B32" s="10" t="s">
        <v>13</v>
      </c>
      <c r="C32" s="10" t="s">
        <v>134</v>
      </c>
      <c r="D32" s="10" t="s">
        <v>147</v>
      </c>
      <c r="E32" s="11" t="s">
        <v>148</v>
      </c>
      <c r="F32" s="10" t="s">
        <v>19</v>
      </c>
      <c r="G32" s="10" t="s">
        <v>149</v>
      </c>
      <c r="H32" s="10" t="s">
        <v>197</v>
      </c>
      <c r="I32" s="10" t="s">
        <v>198</v>
      </c>
      <c r="J32" s="10" t="s">
        <v>150</v>
      </c>
      <c r="K32" s="10" t="str">
        <f aca="false">J32&amp;" | Virtualsphere"</f>
        <v>LRP 70 125KHz LF RFID USB Pendrive Reader | Virtualsphere</v>
      </c>
      <c r="L32" s="12" t="n">
        <f aca="false">IF(K32="","",LEN(K32))</f>
        <v>57</v>
      </c>
      <c r="M32" s="13" t="inlineStr">
        <is>
          <t xml:space="preserve">Fixed</t>
        </is>
      </c>
      <c r="N32" s="13"/>
      <c r="O32"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'LRP 70 125KHz LF RFID USB Pendrive Reader | Virtualsphere' (57 chars, brand once).</t>
        </is>
      </c>
    </row>
    <row r="33" customFormat="false" ht="67.5" hidden="false" customHeight="false" outlineLevel="0" collapsed="false">
      <c r="A33" s="10" t="s">
        <v>202</v>
      </c>
      <c r="B33" s="10" t="s">
        <v>13</v>
      </c>
      <c r="C33" s="10" t="s">
        <v>134</v>
      </c>
      <c r="D33" s="10" t="s">
        <v>192</v>
      </c>
      <c r="E33" s="11" t="s">
        <v>193</v>
      </c>
      <c r="F33" s="10" t="s">
        <v>20</v>
      </c>
      <c r="G33" s="10" t="s">
        <v>194</v>
      </c>
      <c r="H33" s="10" t="s">
        <v>203</v>
      </c>
      <c r="I33" s="10" t="s">
        <v>204</v>
      </c>
      <c r="J33" s="10" t="s">
        <v>195</v>
      </c>
      <c r="K33" s="10" t="str">
        <f aca="false">J33&amp;" | Virtualsphere"</f>
        <v>UHR 5 UHF RFID Handheld Reader with NFC | Virtualsphere</v>
      </c>
      <c r="L33" s="12" t="n">
        <f aca="false">IF(K33="","",LEN(K33))</f>
        <v>55</v>
      </c>
      <c r="M33" s="13" t="inlineStr">
        <is>
          <t xml:space="preserve">Fixed</t>
        </is>
      </c>
      <c r="N33" s="13"/>
      <c r="O33" s="13" t="inlineStr">
        <is>
          <t xml:space="preserve">Already fixed before 9 Oct 2026 (commit 09f194b, 7 Oct): the product title is set in PRODUCT_TITLES (src/app/(public)/products/[slug]/page.tsx); the layout adds the brand once and a stored '| Virtualsphere' is stripped (stripBrand, src/lib/seo.ts).
Checked live 9 Oct 2026: title is 'UHR 5 UHF RFID Handheld Reader with NFC | Virtualsphere' (55 chars, brand once).</t>
        </is>
      </c>
    </row>
    <row r="34" customFormat="false" ht="67.5" hidden="false" customHeight="false" outlineLevel="0" collapsed="false">
      <c r="A34" s="10" t="s">
        <v>205</v>
      </c>
      <c r="B34" s="10" t="s">
        <v>13</v>
      </c>
      <c r="C34" s="10" t="s">
        <v>134</v>
      </c>
      <c r="D34" s="10" t="s">
        <v>206</v>
      </c>
      <c r="E34" s="11" t="s">
        <v>207</v>
      </c>
      <c r="F34" s="10" t="s">
        <v>21</v>
      </c>
      <c r="G34" s="10" t="s">
        <v>208</v>
      </c>
      <c r="H34" s="10" t="s">
        <v>209</v>
      </c>
      <c r="I34" s="10" t="s">
        <v>210</v>
      </c>
      <c r="J34" s="10" t="s">
        <v>211</v>
      </c>
      <c r="K34" s="10" t="str">
        <f aca="false">J34&amp;" | Virtualsphere"</f>
        <v>UDR 102 UHF RFID Desktop Reader &amp; Writer | Virtualsphere</v>
      </c>
      <c r="L34" s="12" t="n">
        <f aca="false">IF(K34="","",LEN(K34))</f>
        <v>56</v>
      </c>
      <c r="M34" s="13" t="inlineStr">
        <is>
          <t xml:space="preserve">Fixed</t>
        </is>
      </c>
      <c r="N34" s="13"/>
      <c r="O34" s="13" t="inlineStr">
        <is>
          <t xml:space="preserve">Already fixed before 9 Oct 2026 (commit de884b4, 7 Oct): the product title is set in PRODUCT_TITLES (src/app/(public)/products/[slug]/page.tsx); the layout adds the brand once and a stored '| Virtualsphere' is stripped (stripBrand, src/lib/seo.ts).
Checked live 9 Oct 2026: title is 'UDR 102 UHF RFID Desktop Reader &amp; Writer | Virtualsphere' (56 chars, brand once).</t>
        </is>
      </c>
    </row>
    <row r="35" customFormat="false" ht="57.45" hidden="false" customHeight="false" outlineLevel="0" collapsed="false">
      <c r="A35" s="10" t="s">
        <v>212</v>
      </c>
      <c r="B35" s="10" t="s">
        <v>13</v>
      </c>
      <c r="C35" s="10" t="s">
        <v>213</v>
      </c>
      <c r="D35" s="10" t="s">
        <v>214</v>
      </c>
      <c r="E35" s="11" t="s">
        <v>214</v>
      </c>
      <c r="F35" s="10" t="s">
        <v>22</v>
      </c>
      <c r="G35" s="10"/>
      <c r="H35" s="10" t="s">
        <v>215</v>
      </c>
      <c r="I35" s="10" t="s">
        <v>216</v>
      </c>
      <c r="J35" s="10"/>
      <c r="K35" s="10"/>
      <c r="L35" s="12"/>
      <c r="M35" s="13" t="inlineStr">
        <is>
          <t xml:space="preserve">Fixed</t>
        </is>
      </c>
      <c r="N35" s="13"/>
      <c r="O35" s="13" t="inlineStr">
        <is>
          <t xml:space="preserve">Already fixed before 9 Oct 2026 (commit 09f194b, 7 Oct): every page sets its own canonical URL (pageMetadata in src/lib/seo.ts).
Checked live 9 Oct 2026: 49 of 49 sitemap URLs carry an absolute https canonical link.</t>
        </is>
      </c>
    </row>
    <row r="36" customFormat="false" ht="54.6" hidden="false" customHeight="false" outlineLevel="0" collapsed="false">
      <c r="A36" s="10" t="s">
        <v>217</v>
      </c>
      <c r="B36" s="10" t="s">
        <v>14</v>
      </c>
      <c r="C36" s="10" t="s">
        <v>218</v>
      </c>
      <c r="D36" s="10" t="s">
        <v>219</v>
      </c>
      <c r="E36" s="11" t="s">
        <v>220</v>
      </c>
      <c r="F36" s="10" t="s">
        <v>17</v>
      </c>
      <c r="G36" s="10" t="s">
        <v>71</v>
      </c>
      <c r="H36" s="10" t="s">
        <v>221</v>
      </c>
      <c r="I36" s="10" t="s">
        <v>66</v>
      </c>
      <c r="J36" s="10" t="s">
        <v>222</v>
      </c>
      <c r="K36" s="10" t="str">
        <f aca="false">J36&amp;" | Virtualsphere"</f>
        <v>Buy RFID Readers, Tags &amp; Antennas Online | Virtualsphere</v>
      </c>
      <c r="L36" s="12" t="n">
        <f aca="false">IF(K36="","",LEN(K36))</f>
        <v>56</v>
      </c>
      <c r="M36" s="13" t="inlineStr">
        <is>
          <t xml:space="preserve">Fixed</t>
        </is>
      </c>
      <c r="N36" s="13"/>
      <c r="O36" s="13" t="inlineStr">
        <is>
          <t xml:space="preserve">Already fixed before 9 Oct 2026 (commit 09f194b, 7 Oct): the /products title is set in src/app/(public)/products/page.tsx.
Checked live 9 Oct 2026: title is 'Buy RFID Readers, Tags &amp; Antennas Online | Virtualsphere' (56 chars, brand once).</t>
        </is>
      </c>
    </row>
    <row r="37" customFormat="false" ht="57.45" hidden="false" customHeight="false" outlineLevel="0" collapsed="false">
      <c r="A37" s="10" t="s">
        <v>223</v>
      </c>
      <c r="B37" s="10" t="s">
        <v>14</v>
      </c>
      <c r="C37" s="10" t="s">
        <v>218</v>
      </c>
      <c r="D37" s="10" t="s">
        <v>224</v>
      </c>
      <c r="E37" s="11" t="s">
        <v>225</v>
      </c>
      <c r="F37" s="10" t="s">
        <v>16</v>
      </c>
      <c r="G37" s="10" t="s">
        <v>226</v>
      </c>
      <c r="H37" s="10" t="s">
        <v>227</v>
      </c>
      <c r="I37" s="10" t="s">
        <v>61</v>
      </c>
      <c r="J37" s="10" t="s">
        <v>224</v>
      </c>
      <c r="K37" s="10" t="str">
        <f aca="false">J37&amp;" | Virtualsphere"</f>
        <v>Privacy Policy | Virtualsphere</v>
      </c>
      <c r="L37" s="12" t="n">
        <f aca="false">IF(K37="","",LEN(K37))</f>
        <v>30</v>
      </c>
      <c r="M37" s="13" t="inlineStr">
        <is>
          <t xml:space="preserve">Fixed</t>
        </is>
      </c>
      <c r="N37" s="13"/>
      <c r="O37" s="13" t="inlineStr">
        <is>
          <t xml:space="preserve">Already fixed before 9 Oct 2026 (commit 09f194b, 7 Oct): the page title is set without the brand and the layout adds it once.
Checked live 9 Oct 2026: title is 'Privacy Policy | Virtualsphere' (30 chars, brand once).</t>
        </is>
      </c>
    </row>
    <row r="38" customFormat="false" ht="57.45" hidden="false" customHeight="false" outlineLevel="0" collapsed="false">
      <c r="A38" s="10" t="s">
        <v>228</v>
      </c>
      <c r="B38" s="10" t="s">
        <v>14</v>
      </c>
      <c r="C38" s="10" t="s">
        <v>218</v>
      </c>
      <c r="D38" s="10" t="s">
        <v>229</v>
      </c>
      <c r="E38" s="11" t="s">
        <v>230</v>
      </c>
      <c r="F38" s="10" t="s">
        <v>16</v>
      </c>
      <c r="G38" s="10" t="s">
        <v>231</v>
      </c>
      <c r="H38" s="10" t="s">
        <v>232</v>
      </c>
      <c r="I38" s="10" t="s">
        <v>61</v>
      </c>
      <c r="J38" s="10" t="s">
        <v>229</v>
      </c>
      <c r="K38" s="10" t="str">
        <f aca="false">J38&amp;" | Virtualsphere"</f>
        <v>Terms &amp; Conditions | Virtualsphere</v>
      </c>
      <c r="L38" s="12" t="n">
        <f aca="false">IF(K38="","",LEN(K38))</f>
        <v>34</v>
      </c>
      <c r="M38" s="13" t="inlineStr">
        <is>
          <t xml:space="preserve">Fixed</t>
        </is>
      </c>
      <c r="N38" s="13"/>
      <c r="O38" s="13" t="inlineStr">
        <is>
          <t xml:space="preserve">Already fixed before 9 Oct 2026 (commit 09f194b, 7 Oct): the page title is set without the brand and the layout adds it once.
Checked live 9 Oct 2026: title is 'Terms &amp; Conditions | Virtualsphere' (34 chars, brand once).</t>
        </is>
      </c>
    </row>
    <row r="39" customFormat="false" ht="93.3" hidden="false" customHeight="false" outlineLevel="0" collapsed="false">
      <c r="A39" s="10" t="s">
        <v>233</v>
      </c>
      <c r="B39" s="10" t="s">
        <v>14</v>
      </c>
      <c r="C39" s="10" t="s">
        <v>68</v>
      </c>
      <c r="D39" s="10" t="s">
        <v>85</v>
      </c>
      <c r="E39" s="11" t="s">
        <v>86</v>
      </c>
      <c r="F39" s="10" t="s">
        <v>23</v>
      </c>
      <c r="G39" s="10" t="s">
        <v>86</v>
      </c>
      <c r="H39" s="10" t="s">
        <v>234</v>
      </c>
      <c r="I39" s="10" t="s">
        <v>235</v>
      </c>
      <c r="J39" s="10" t="s">
        <v>236</v>
      </c>
      <c r="K39" s="10"/>
      <c r="L39" s="12"/>
      <c r="M39" s="13" t="inlineStr">
        <is>
          <t xml:space="preserve">Fixed</t>
        </is>
      </c>
      <c r="N39" s="13" t="inlineStr">
        <is>
          <t xml:space="preserve">Claude Code</t>
        </is>
      </c>
      <c r="O39" s="13" t="inlineStr">
        <is>
          <t xml:space="preserve">9 Oct 2026: category slug raid-tags changed to rfid-tags in the live catalog (admin API). Added a 301 redirect from the old URL to the new one (next.config.ts, commit c912301, deployed). No page hard-codes the old slug; links and the sitemap follow the catalog.
Verified live: raid-tags URL answers 301 -&gt; /products?category=rfid-tags; the new URL loads with heading 'RFID Tags' and canonical https://indiarfidshop.com/products?category=rfid-tags; sitemap lists the new slug only.
Still to do by site owner: resubmit the sitemap in Search Console.</t>
        </is>
      </c>
    </row>
    <row r="40" customFormat="false" ht="106.2" hidden="false" customHeight="false" outlineLevel="0" collapsed="false">
      <c r="A40" s="10" t="s">
        <v>237</v>
      </c>
      <c r="B40" s="10" t="s">
        <v>14</v>
      </c>
      <c r="C40" s="10" t="s">
        <v>68</v>
      </c>
      <c r="D40" s="10" t="s">
        <v>95</v>
      </c>
      <c r="E40" s="11" t="s">
        <v>96</v>
      </c>
      <c r="F40" s="10" t="s">
        <v>23</v>
      </c>
      <c r="G40" s="10" t="s">
        <v>96</v>
      </c>
      <c r="H40" s="10" t="s">
        <v>238</v>
      </c>
      <c r="I40" s="10" t="s">
        <v>235</v>
      </c>
      <c r="J40" s="10" t="s">
        <v>239</v>
      </c>
      <c r="K40" s="10"/>
      <c r="L40" s="12"/>
      <c r="M40" s="13" t="inlineStr">
        <is>
          <t xml:space="preserve">Fixed</t>
        </is>
      </c>
      <c r="N40" s="13" t="inlineStr">
        <is>
          <t xml:space="preserve">Claude Code</t>
        </is>
      </c>
      <c r="O40" s="13" t="inlineStr">
        <is>
          <t xml:space="preserve">9 Oct 2026: category renamed from 'RFID Laundary Tags' to 'RFID Laundry Tags' and its slug rfid-laundary-tags changed to rfid-laundry-tags in the live catalog (admin API); it stays under RFID Tags. Added a 301 redirect from the old URL to the new one (next.config.ts, commit c912301, deployed). No page hard-codes the old slug; links and the sitemap follow the catalog.
Verified live: rfid-laundary-tags URL answers 301 -&gt; /products?category=rfid-laundry-tags; the new URL loads with heading 'RFID Laundry Tags' and canonical https://indiarfidshop.com/products?category=rfid-laundry-tags; sitemap lists the new slug only.
Still to do by site owner: resubmit the sitemap in Search Console.</t>
        </is>
      </c>
    </row>
    <row r="41" customFormat="false" ht="67.5" hidden="false" customHeight="false" outlineLevel="0" collapsed="false">
      <c r="A41" s="10" t="s">
        <v>240</v>
      </c>
      <c r="B41" s="10" t="s">
        <v>14</v>
      </c>
      <c r="C41" s="10" t="s">
        <v>134</v>
      </c>
      <c r="D41" s="10" t="s">
        <v>162</v>
      </c>
      <c r="E41" s="11" t="s">
        <v>163</v>
      </c>
      <c r="F41" s="10" t="s">
        <v>24</v>
      </c>
      <c r="G41" s="10" t="s">
        <v>241</v>
      </c>
      <c r="H41" s="10" t="s">
        <v>242</v>
      </c>
      <c r="I41" s="10" t="s">
        <v>243</v>
      </c>
      <c r="J41" s="10" t="s">
        <v>244</v>
      </c>
      <c r="K41" s="10"/>
      <c r="L41" s="12"/>
      <c r="M41" s="13" t="inlineStr">
        <is>
          <t xml:space="preserve">Fixed</t>
        </is>
      </c>
      <c r="N41" s="13" t="inlineStr">
        <is>
          <t xml:space="preserve">Claude Code</t>
        </is>
      </c>
      <c r="O41" s="13" t="inlineStr">
        <is>
          <t xml:space="preserve">9 Oct 2026: product name (the H1) changed in the live catalog from 'UDR-W101 RFID Desktop Reader &amp; Writer | Virtualsphere' to 'UDR-W101 RFID Desktop Reader &amp; Writer'. Also added a guard (cleanProductName, commit c912301, deployed) so a brand suffix or pipe typed into a product name is cleaned before it reaches the heading, product cards and cart.
Verified live: the page has exactly one H1: 'UDR-W101 RFID Desktop Reader &amp; Writer'.</t>
        </is>
      </c>
    </row>
    <row r="42" customFormat="false" ht="67.5" hidden="false" customHeight="false" outlineLevel="0" collapsed="false">
      <c r="A42" s="10" t="s">
        <v>245</v>
      </c>
      <c r="B42" s="10" t="s">
        <v>14</v>
      </c>
      <c r="C42" s="10" t="s">
        <v>134</v>
      </c>
      <c r="D42" s="10" t="s">
        <v>167</v>
      </c>
      <c r="E42" s="11" t="s">
        <v>168</v>
      </c>
      <c r="F42" s="10" t="s">
        <v>24</v>
      </c>
      <c r="G42" s="10" t="s">
        <v>241</v>
      </c>
      <c r="H42" s="10" t="s">
        <v>242</v>
      </c>
      <c r="I42" s="10" t="s">
        <v>243</v>
      </c>
      <c r="J42" s="10" t="s">
        <v>246</v>
      </c>
      <c r="K42" s="10"/>
      <c r="L42" s="12"/>
      <c r="M42" s="13" t="inlineStr">
        <is>
          <t xml:space="preserve">Fixed</t>
        </is>
      </c>
      <c r="N42" s="13" t="inlineStr">
        <is>
          <t xml:space="preserve">Claude Code</t>
        </is>
      </c>
      <c r="O42" s="13" t="inlineStr">
        <is>
          <t xml:space="preserve">9 Oct 2026: product name (the H1) changed in the live catalog from 'UDT9R RFID Jewellery Tray Reader | Virtualsphere' to 'UDT9R RFID Jewellery Tray Reader'. Also added a guard (cleanProductName, commit c912301, deployed) so a brand suffix or pipe typed into a product name is cleaned before it reaches the heading, product cards and cart.
Verified live: the page has exactly one H1: 'UDT9R RFID Jewellery Tray Reader'.</t>
        </is>
      </c>
    </row>
    <row r="43" customFormat="false" ht="67.5" hidden="false" customHeight="false" outlineLevel="0" collapsed="false">
      <c r="A43" s="10" t="s">
        <v>247</v>
      </c>
      <c r="B43" s="10" t="s">
        <v>14</v>
      </c>
      <c r="C43" s="10" t="s">
        <v>134</v>
      </c>
      <c r="D43" s="10" t="s">
        <v>172</v>
      </c>
      <c r="E43" s="11" t="s">
        <v>173</v>
      </c>
      <c r="F43" s="10" t="s">
        <v>24</v>
      </c>
      <c r="G43" s="10" t="s">
        <v>241</v>
      </c>
      <c r="H43" s="10" t="s">
        <v>242</v>
      </c>
      <c r="I43" s="10" t="s">
        <v>243</v>
      </c>
      <c r="J43" s="10" t="s">
        <v>248</v>
      </c>
      <c r="K43" s="10"/>
      <c r="L43" s="12"/>
      <c r="M43" s="13" t="inlineStr">
        <is>
          <t xml:space="preserve">Fixed</t>
        </is>
      </c>
      <c r="N43" s="13" t="inlineStr">
        <is>
          <t xml:space="preserve">Claude Code</t>
        </is>
      </c>
      <c r="O43" s="13" t="inlineStr">
        <is>
          <t xml:space="preserve">9 Oct 2026: product name (the H1) changed in the live catalog from 'UHR2 UHF RFID Handheld Reader | Virtualsphere' to 'UHR2 UHF RFID Handheld Reader'. Also added a guard (cleanProductName, commit c912301, deployed) so a brand suffix or pipe typed into a product name is cleaned before it reaches the heading, product cards and cart.
Verified live: the page has exactly one H1: 'UHR2 UHF RFID Handheld Reader'.</t>
        </is>
      </c>
    </row>
    <row r="44" customFormat="false" ht="67.5" hidden="false" customHeight="false" outlineLevel="0" collapsed="false">
      <c r="A44" s="10" t="s">
        <v>249</v>
      </c>
      <c r="B44" s="10" t="s">
        <v>14</v>
      </c>
      <c r="C44" s="10" t="s">
        <v>134</v>
      </c>
      <c r="D44" s="10" t="s">
        <v>250</v>
      </c>
      <c r="E44" s="11" t="s">
        <v>251</v>
      </c>
      <c r="F44" s="10" t="s">
        <v>24</v>
      </c>
      <c r="G44" s="10" t="s">
        <v>241</v>
      </c>
      <c r="H44" s="10" t="s">
        <v>242</v>
      </c>
      <c r="I44" s="10" t="s">
        <v>243</v>
      </c>
      <c r="J44" s="10" t="s">
        <v>252</v>
      </c>
      <c r="K44" s="10"/>
      <c r="L44" s="12"/>
      <c r="M44" s="13" t="inlineStr">
        <is>
          <t xml:space="preserve">Fixed</t>
        </is>
      </c>
      <c r="N44" s="13" t="inlineStr">
        <is>
          <t xml:space="preserve">Claude Code</t>
        </is>
      </c>
      <c r="O44" s="13" t="inlineStr">
        <is>
          <t xml:space="preserve">9 Oct 2026: product name (the H1) changed in the live catalog from 'VSL-F2 UHF RFID 4 Port Reader | Impinj E710' to 'VSL-F2 UHF RFID 4 Port Reader – Impinj E710'. Also added a guard (cleanProductName, commit c912301, deployed) so a brand suffix or pipe typed into a product name is cleaned before it reaches the heading, product cards and cart.
Verified live: the page has exactly one H1: 'VSL-F2 UHF RFID 4 Port Reader – Impinj E710'.</t>
        </is>
      </c>
    </row>
    <row r="45" customFormat="false" ht="67.5" hidden="false" customHeight="false" outlineLevel="0" collapsed="false">
      <c r="A45" s="10" t="s">
        <v>253</v>
      </c>
      <c r="B45" s="10" t="s">
        <v>14</v>
      </c>
      <c r="C45" s="10" t="s">
        <v>134</v>
      </c>
      <c r="D45" s="10" t="s">
        <v>254</v>
      </c>
      <c r="E45" s="11" t="s">
        <v>255</v>
      </c>
      <c r="F45" s="10" t="s">
        <v>25</v>
      </c>
      <c r="G45" s="10" t="s">
        <v>241</v>
      </c>
      <c r="H45" s="10" t="s">
        <v>256</v>
      </c>
      <c r="I45" s="10" t="s">
        <v>257</v>
      </c>
      <c r="J45" s="10" t="s">
        <v>258</v>
      </c>
      <c r="K45" s="10"/>
      <c r="L45" s="12"/>
      <c r="M45" s="13" t="inlineStr">
        <is>
          <t xml:space="preserve">Fixed</t>
        </is>
      </c>
      <c r="N45" s="13" t="inlineStr">
        <is>
          <t xml:space="preserve">Claude Code</t>
        </is>
      </c>
      <c r="O45" s="13" t="inlineStr">
        <is>
          <t xml:space="preserve">9 Oct 2026: meta description replaced in the live catalog (was 'RFID Handheld Reader | UHR 72') with the suggested text, 144 characters.
Verified live: &lt;meta name="description"&gt; in the page source reads 'Buy the UHR 72 UHF RFID handheld reader – EPC Gen2 / ISO 18000-6C with Gen2v2 authentication. Ideal for inventory, warehouse and asset tracking.'.</t>
        </is>
      </c>
    </row>
    <row r="46" customFormat="false" ht="67.5" hidden="false" customHeight="false" outlineLevel="0" collapsed="false">
      <c r="A46" s="10" t="s">
        <v>259</v>
      </c>
      <c r="B46" s="10" t="s">
        <v>14</v>
      </c>
      <c r="C46" s="10" t="s">
        <v>134</v>
      </c>
      <c r="D46" s="10" t="s">
        <v>260</v>
      </c>
      <c r="E46" s="11" t="s">
        <v>261</v>
      </c>
      <c r="F46" s="10" t="s">
        <v>25</v>
      </c>
      <c r="G46" s="10" t="s">
        <v>241</v>
      </c>
      <c r="H46" s="10" t="s">
        <v>262</v>
      </c>
      <c r="I46" s="10" t="s">
        <v>257</v>
      </c>
      <c r="J46" s="10" t="s">
        <v>263</v>
      </c>
      <c r="K46" s="10"/>
      <c r="L46" s="12"/>
      <c r="M46" s="13" t="inlineStr">
        <is>
          <t xml:space="preserve">Fixed</t>
        </is>
      </c>
      <c r="N46" s="13" t="inlineStr">
        <is>
          <t xml:space="preserve">Claude Code</t>
        </is>
      </c>
      <c r="O46" s="13" t="inlineStr">
        <is>
          <t xml:space="preserve">9 Oct 2026: meta description replaced in the live catalog (was 'Virtualsphere UDM9R is a high-performance single-channel fixed RFID reader.') with the suggested text, 139 characters.
Verified live: &lt;meta name="description"&gt; in the page source reads 'UDM9R long range integrated UHF RFID reader with Impinj E310, 9dBi antenna, up to 15 m range, IP68, RS232, RJ45, Wiegand &amp; GPIO interfaces.'.</t>
        </is>
      </c>
    </row>
    <row r="47" customFormat="false" ht="67.5" hidden="false" customHeight="false" outlineLevel="0" collapsed="false">
      <c r="A47" s="10" t="s">
        <v>264</v>
      </c>
      <c r="B47" s="10" t="s">
        <v>14</v>
      </c>
      <c r="C47" s="10" t="s">
        <v>134</v>
      </c>
      <c r="D47" s="10" t="s">
        <v>265</v>
      </c>
      <c r="E47" s="11" t="s">
        <v>266</v>
      </c>
      <c r="F47" s="10" t="s">
        <v>25</v>
      </c>
      <c r="G47" s="10" t="s">
        <v>241</v>
      </c>
      <c r="H47" s="10" t="s">
        <v>267</v>
      </c>
      <c r="I47" s="10" t="s">
        <v>257</v>
      </c>
      <c r="J47" s="10" t="s">
        <v>268</v>
      </c>
      <c r="K47" s="10"/>
      <c r="L47" s="12"/>
      <c r="M47" s="13" t="inlineStr">
        <is>
          <t xml:space="preserve">Fixed</t>
        </is>
      </c>
      <c r="N47" s="13" t="inlineStr">
        <is>
          <t xml:space="preserve">Claude Code</t>
        </is>
      </c>
      <c r="O47" s="13" t="inlineStr">
        <is>
          <t xml:space="preserve">9 Oct 2026: meta description replaced in the live catalog (was 'Virtualsphere UDM12R is a high-performance single-channel fixed RFID reader.') with the suggested text, 144 characters.
Verified live: &lt;meta name="description"&gt; in the page source reads 'UDM12R Impinj-based integrated UHF RFID reader, EPC Gen2 V2, read range up to 20 m, RS232, RJ45 &amp; GPIO – for access control, logistics &amp; assets.'.</t>
        </is>
      </c>
    </row>
    <row r="48" customFormat="false" ht="93.3" hidden="false" customHeight="false" outlineLevel="0" collapsed="false">
      <c r="A48" s="10" t="s">
        <v>269</v>
      </c>
      <c r="B48" s="10" t="s">
        <v>14</v>
      </c>
      <c r="C48" s="10" t="s">
        <v>134</v>
      </c>
      <c r="D48" s="10" t="s">
        <v>270</v>
      </c>
      <c r="E48" s="11" t="s">
        <v>271</v>
      </c>
      <c r="F48" s="10" t="s">
        <v>25</v>
      </c>
      <c r="G48" s="10" t="s">
        <v>241</v>
      </c>
      <c r="H48" s="10" t="s">
        <v>272</v>
      </c>
      <c r="I48" s="10" t="s">
        <v>257</v>
      </c>
      <c r="J48" s="10" t="s">
        <v>273</v>
      </c>
      <c r="K48" s="10"/>
      <c r="L48" s="12"/>
      <c r="M48" s="13" t="inlineStr">
        <is>
          <t xml:space="preserve">Fixed</t>
        </is>
      </c>
      <c r="N48" s="13" t="inlineStr">
        <is>
          <t xml:space="preserve">Claude Code</t>
        </is>
      </c>
      <c r="O48" s="13" t="inlineStr">
        <is>
          <t xml:space="preserve">9 Oct 2026: meta description replaced in the live catalog (was '10-15mtrs Reader Long range desktop operating reader') with the suggested text, 155 characters. The wording says 'up to 7 m (23 ft)' instead of the suggested '10–15 m' because the product page itself says 23 feet; chosen by the site owner.
Verified live: &lt;meta name="description"&gt; in the page source reads 'UDR 107 long range UHF RFID desktop reader with up to 7 m (23 ft) read range for gates, counters and inventory points. Easy integration with your software.'.</t>
        </is>
      </c>
    </row>
    <row r="49" customFormat="false" ht="67.5" hidden="false" customHeight="false" outlineLevel="0" collapsed="false">
      <c r="A49" s="10" t="s">
        <v>274</v>
      </c>
      <c r="B49" s="10" t="s">
        <v>14</v>
      </c>
      <c r="C49" s="10" t="s">
        <v>134</v>
      </c>
      <c r="D49" s="10" t="s">
        <v>275</v>
      </c>
      <c r="E49" s="11" t="s">
        <v>276</v>
      </c>
      <c r="F49" s="10" t="s">
        <v>25</v>
      </c>
      <c r="G49" s="10" t="s">
        <v>241</v>
      </c>
      <c r="H49" s="10" t="s">
        <v>277</v>
      </c>
      <c r="I49" s="10" t="s">
        <v>257</v>
      </c>
      <c r="J49" s="10" t="s">
        <v>278</v>
      </c>
      <c r="K49" s="10"/>
      <c r="L49" s="12"/>
      <c r="M49" s="13" t="inlineStr">
        <is>
          <t xml:space="preserve">Fixed</t>
        </is>
      </c>
      <c r="N49" s="13" t="inlineStr">
        <is>
          <t xml:space="preserve">Claude Code</t>
        </is>
      </c>
      <c r="O49" s="13" t="inlineStr">
        <is>
          <t xml:space="preserve">9 Oct 2026: meta description replaced in the live catalog (was 'RFID Pendrive Reader | 13.56Mhz Reader | Portable Reader') with the suggested text, 138 characters.
Verified live: &lt;meta name="description"&gt; in the page source reads 'HRP 70 driver-free 13.56MHz HF RFID USB pendrive reader, up to 80 mm range, IP65. Plug-and-play for access cards, attendance and NFC tags.'.</t>
        </is>
      </c>
    </row>
    <row r="50" customFormat="false" ht="67.5" hidden="false" customHeight="false" outlineLevel="0" collapsed="false">
      <c r="A50" s="10" t="s">
        <v>279</v>
      </c>
      <c r="B50" s="10" t="s">
        <v>14</v>
      </c>
      <c r="C50" s="10" t="s">
        <v>134</v>
      </c>
      <c r="D50" s="10" t="s">
        <v>206</v>
      </c>
      <c r="E50" s="11" t="s">
        <v>207</v>
      </c>
      <c r="F50" s="10" t="s">
        <v>25</v>
      </c>
      <c r="G50" s="10" t="s">
        <v>241</v>
      </c>
      <c r="H50" s="10" t="s">
        <v>280</v>
      </c>
      <c r="I50" s="10" t="s">
        <v>257</v>
      </c>
      <c r="J50" s="10" t="s">
        <v>281</v>
      </c>
      <c r="K50" s="10"/>
      <c r="L50" s="12"/>
      <c r="M50" s="13" t="inlineStr">
        <is>
          <t xml:space="preserve">Fixed</t>
        </is>
      </c>
      <c r="N50" s="13" t="inlineStr">
        <is>
          <t xml:space="preserve">Claude Code</t>
        </is>
      </c>
      <c r="O50" s="13" t="inlineStr">
        <is>
          <t xml:space="preserve">9 Oct 2026: meta description replaced in the live catalog (was a 294-character copy of the product description, with line breaks) with the suggested text, 138 characters.
Verified live: &lt;meta name="description"&gt; in the page source reads 'UDR 102 UHF RFID desktop reader &amp; writer with 3–5 m range for POS, registration and inventory. Works with Windows, iOS, Android and Linux.'.</t>
        </is>
      </c>
    </row>
    <row r="51" customFormat="false" ht="67.5" hidden="false" customHeight="false" outlineLevel="0" collapsed="false">
      <c r="A51" s="10" t="s">
        <v>282</v>
      </c>
      <c r="B51" s="10" t="s">
        <v>14</v>
      </c>
      <c r="C51" s="10" t="s">
        <v>213</v>
      </c>
      <c r="D51" s="10" t="s">
        <v>283</v>
      </c>
      <c r="E51" s="11" t="s">
        <v>283</v>
      </c>
      <c r="F51" s="10" t="s">
        <v>26</v>
      </c>
      <c r="G51" s="10"/>
      <c r="H51" s="10" t="s">
        <v>284</v>
      </c>
      <c r="I51" s="10" t="s">
        <v>285</v>
      </c>
      <c r="J51" s="10"/>
      <c r="K51" s="10"/>
      <c r="L51" s="12"/>
      <c r="M51" s="13" t="inlineStr">
        <is>
          <t xml:space="preserve">Fixed</t>
        </is>
      </c>
      <c r="N51" s="13"/>
      <c r="O51" s="13" t="inlineStr">
        <is>
          <t xml:space="preserve">Already correct on 9 Oct 2026, no change needed: every page sets its own og:title, og:url and twitter tags (pageMetadata in src/lib/seo.ts, added in commit 09f194b, 7 Oct).
Checked live 9 Oct 2026: /, /products, a category page, /categories, /about, /contact, /privacy and /terms each carry a page-specific og:title (for example 'RFID Readers, Tags &amp; Antennas in India | Virtualsphere') and none the old generic one.</t>
        </is>
      </c>
    </row>
    <row r="52" customFormat="false" ht="67.5" hidden="false" customHeight="false" outlineLevel="0" collapsed="false">
      <c r="A52" s="10" t="s">
        <v>286</v>
      </c>
      <c r="B52" s="10" t="s">
        <v>14</v>
      </c>
      <c r="C52" s="10" t="s">
        <v>213</v>
      </c>
      <c r="D52" s="10" t="s">
        <v>287</v>
      </c>
      <c r="E52" s="11" t="s">
        <v>287</v>
      </c>
      <c r="F52" s="10" t="s">
        <v>27</v>
      </c>
      <c r="G52" s="10"/>
      <c r="H52" s="10" t="s">
        <v>288</v>
      </c>
      <c r="I52" s="10" t="s">
        <v>289</v>
      </c>
      <c r="J52" s="10"/>
      <c r="K52" s="10"/>
      <c r="L52" s="12"/>
      <c r="M52" s="13" t="inlineStr">
        <is>
          <t xml:space="preserve">Fixed</t>
        </is>
      </c>
      <c r="N52" s="13"/>
      <c r="O52" s="13" t="inlineStr">
        <is>
          <t xml:space="preserve">Already correct on 9 Oct 2026, no change needed: product pages set twitter:title/description and the og tags from the product's own title, description and image (pageMetadata, commit 09f194b, 7 Oct).
Checked live 9 Oct 2026: the UDM9R page has twitter:title 'UDM9R Long Range Integrated UHF RFID Reader | Virtualsphere'.</t>
        </is>
      </c>
    </row>
    <row r="53" customFormat="false" ht="54.6" hidden="false" customHeight="false" outlineLevel="0" collapsed="false">
      <c r="A53" s="10" t="s">
        <v>290</v>
      </c>
      <c r="B53" s="10" t="s">
        <v>14</v>
      </c>
      <c r="C53" s="10" t="s">
        <v>218</v>
      </c>
      <c r="D53" s="10" t="s">
        <v>224</v>
      </c>
      <c r="E53" s="11" t="s">
        <v>225</v>
      </c>
      <c r="F53" s="10" t="s">
        <v>28</v>
      </c>
      <c r="G53" s="10"/>
      <c r="H53" s="10" t="s">
        <v>291</v>
      </c>
      <c r="I53" s="10" t="s">
        <v>292</v>
      </c>
      <c r="J53" s="10"/>
      <c r="K53" s="10"/>
      <c r="L53" s="12"/>
      <c r="M53" s="13" t="inlineStr">
        <is>
          <t xml:space="preserve">Fixed</t>
        </is>
      </c>
      <c r="N53" s="13"/>
      <c r="O53" s="13" t="inlineStr">
        <is>
          <t xml:space="preserve">Could not reproduce on 9 Oct 2026, no change needed: the page is a server component with the full text written in it and no client-side fetch (it was already built this way before 7 Oct), so the server HTML contains the text (about 828 words).
Checked live 9 Oct 2026: the opening sentence is present in the raw HTML.</t>
        </is>
      </c>
    </row>
    <row r="54" customFormat="false" ht="54.6" hidden="false" customHeight="false" outlineLevel="0" collapsed="false">
      <c r="A54" s="10" t="s">
        <v>293</v>
      </c>
      <c r="B54" s="10" t="s">
        <v>14</v>
      </c>
      <c r="C54" s="10" t="s">
        <v>218</v>
      </c>
      <c r="D54" s="10" t="s">
        <v>229</v>
      </c>
      <c r="E54" s="11" t="s">
        <v>230</v>
      </c>
      <c r="F54" s="10" t="s">
        <v>28</v>
      </c>
      <c r="G54" s="10"/>
      <c r="H54" s="10" t="s">
        <v>294</v>
      </c>
      <c r="I54" s="10" t="s">
        <v>295</v>
      </c>
      <c r="J54" s="10"/>
      <c r="K54" s="10"/>
      <c r="L54" s="12"/>
      <c r="M54" s="13" t="inlineStr">
        <is>
          <t xml:space="preserve">Fixed</t>
        </is>
      </c>
      <c r="N54" s="13"/>
      <c r="O54" s="13" t="inlineStr">
        <is>
          <t xml:space="preserve">Could not reproduce on 9 Oct 2026, no change needed: the page is a server component with the full text written in it and no client-side fetch (it was already built this way before 7 Oct), so the server HTML contains the text (about 549 words).
Checked live 9 Oct 2026: the opening sentence is present in the raw HTML.</t>
        </is>
      </c>
    </row>
    <row r="55" customFormat="false" ht="41.7" hidden="false" customHeight="false" outlineLevel="0" collapsed="false">
      <c r="A55" s="10" t="s">
        <v>296</v>
      </c>
      <c r="B55" s="10" t="s">
        <v>15</v>
      </c>
      <c r="C55" s="10" t="s">
        <v>218</v>
      </c>
      <c r="D55" s="10" t="s">
        <v>297</v>
      </c>
      <c r="E55" s="11" t="s">
        <v>298</v>
      </c>
      <c r="F55" s="10" t="s">
        <v>17</v>
      </c>
      <c r="G55" s="10" t="s">
        <v>299</v>
      </c>
      <c r="H55" s="10" t="s">
        <v>300</v>
      </c>
      <c r="I55" s="10" t="s">
        <v>66</v>
      </c>
      <c r="J55" s="10" t="s">
        <v>301</v>
      </c>
      <c r="K55" s="10" t="str">
        <f aca="false">J55&amp;" | Virtualsphere"</f>
        <v>RFID Product Categories | Virtualsphere</v>
      </c>
      <c r="L55" s="12" t="n">
        <f aca="false">IF(K55="","",LEN(K55))</f>
        <v>39</v>
      </c>
      <c r="M55" s="13" t="inlineStr">
        <is>
          <t xml:space="preserve">Fixed</t>
        </is>
      </c>
      <c r="N55" s="13"/>
      <c r="O55" s="13" t="inlineStr">
        <is>
          <t xml:space="preserve">Already fixed before 9 Oct 2026 (commit 09f194b, 7 Oct): the page title is set in the page's own metadata (src/lib/seo.ts pageMetadata). No change needed.
Checked live 9 Oct 2026: title is 'RFID Product Categories | Virtualsphere' (39 chars).</t>
        </is>
      </c>
    </row>
    <row r="56" customFormat="false" ht="54.6" hidden="false" customHeight="false" outlineLevel="0" collapsed="false">
      <c r="A56" s="10" t="s">
        <v>302</v>
      </c>
      <c r="B56" s="10" t="s">
        <v>15</v>
      </c>
      <c r="C56" s="10" t="s">
        <v>218</v>
      </c>
      <c r="D56" s="10" t="s">
        <v>303</v>
      </c>
      <c r="E56" s="11" t="s">
        <v>304</v>
      </c>
      <c r="F56" s="10" t="s">
        <v>17</v>
      </c>
      <c r="G56" s="10" t="s">
        <v>305</v>
      </c>
      <c r="H56" s="10" t="s">
        <v>306</v>
      </c>
      <c r="I56" s="10" t="s">
        <v>66</v>
      </c>
      <c r="J56" s="10" t="s">
        <v>307</v>
      </c>
      <c r="K56" s="10" t="str">
        <f aca="false">J56&amp;" | Virtualsphere"</f>
        <v>About Us – RFID Manufacturer in India | Virtualsphere</v>
      </c>
      <c r="L56" s="12" t="n">
        <f aca="false">IF(K56="","",LEN(K56))</f>
        <v>53</v>
      </c>
      <c r="M56" s="13" t="inlineStr">
        <is>
          <t xml:space="preserve">Fixed</t>
        </is>
      </c>
      <c r="N56" s="13"/>
      <c r="O56" s="13" t="inlineStr">
        <is>
          <t xml:space="preserve">Already fixed before 9 Oct 2026 (commit 09f194b, 7 Oct): the page title is set in the page's own metadata (src/lib/seo.ts pageMetadata). No change needed.
Checked live 9 Oct 2026: title is 'About Us – RFID Manufacturer in India | Virtualsphere' (53 chars).</t>
        </is>
      </c>
    </row>
    <row r="57" customFormat="false" ht="54.6" hidden="false" customHeight="false" outlineLevel="0" collapsed="false">
      <c r="A57" s="10" t="s">
        <v>308</v>
      </c>
      <c r="B57" s="10" t="s">
        <v>15</v>
      </c>
      <c r="C57" s="10" t="s">
        <v>218</v>
      </c>
      <c r="D57" s="10" t="s">
        <v>309</v>
      </c>
      <c r="E57" s="11" t="s">
        <v>310</v>
      </c>
      <c r="F57" s="10" t="s">
        <v>17</v>
      </c>
      <c r="G57" s="10" t="s">
        <v>311</v>
      </c>
      <c r="H57" s="10" t="s">
        <v>312</v>
      </c>
      <c r="I57" s="10" t="s">
        <v>66</v>
      </c>
      <c r="J57" s="10" t="s">
        <v>313</v>
      </c>
      <c r="K57" s="10" t="str">
        <f aca="false">J57&amp;" | Virtualsphere"</f>
        <v>Contact Us – RFID Quotes &amp; Support | Virtualsphere</v>
      </c>
      <c r="L57" s="12" t="n">
        <f aca="false">IF(K57="","",LEN(K57))</f>
        <v>50</v>
      </c>
      <c r="M57" s="13" t="inlineStr">
        <is>
          <t xml:space="preserve">Fixed</t>
        </is>
      </c>
      <c r="N57" s="13"/>
      <c r="O57" s="13" t="inlineStr">
        <is>
          <t xml:space="preserve">Already fixed before 9 Oct 2026 (commit 09f194b, 7 Oct): the page title is set in the page's own metadata (src/lib/seo.ts pageMetadata). No change needed.
Checked live 9 Oct 2026: title is 'Contact Us – RFID Quotes &amp; Support | Virtualsphere' (50 chars).</t>
        </is>
      </c>
    </row>
    <row r="58" customFormat="false" ht="57.45" hidden="false" customHeight="false" outlineLevel="0" collapsed="false">
      <c r="A58" s="10" t="s">
        <v>314</v>
      </c>
      <c r="B58" s="10" t="s">
        <v>15</v>
      </c>
      <c r="C58" s="10" t="s">
        <v>218</v>
      </c>
      <c r="D58" s="10" t="s">
        <v>309</v>
      </c>
      <c r="E58" s="11" t="s">
        <v>310</v>
      </c>
      <c r="F58" s="10" t="s">
        <v>29</v>
      </c>
      <c r="G58" s="10" t="s">
        <v>241</v>
      </c>
      <c r="H58" s="10" t="s">
        <v>315</v>
      </c>
      <c r="I58" s="10" t="s">
        <v>316</v>
      </c>
      <c r="J58" s="10" t="s">
        <v>317</v>
      </c>
      <c r="K58" s="10"/>
      <c r="L58" s="12"/>
      <c r="M58" s="13" t="inlineStr">
        <is>
          <t xml:space="preserve">Fixed</t>
        </is>
      </c>
      <c r="N58" s="13" t="inlineStr">
        <is>
          <t xml:space="preserve">Claude Code</t>
        </is>
      </c>
      <c r="O58" s="13" t="inlineStr">
        <is>
          <t xml:space="preserve">9 Oct 2026: page heading (H1) changed from 'Get in touch' to 'Contact Virtualsphere' (src/app/(public)/contact/page.tsx, commit c912301, deployed); the small label above it now reads 'Get in touch'. The 'India RFID shop...' text is an H2 sub-heading in the page source, not an H1.
Verified live: the page has exactly one H1: 'Contact Virtualsphere'.</t>
        </is>
      </c>
    </row>
    <row r="59" customFormat="false" ht="54.6" hidden="false" customHeight="false" outlineLevel="0" collapsed="false">
      <c r="A59" s="10" t="s">
        <v>318</v>
      </c>
      <c r="B59" s="10" t="s">
        <v>15</v>
      </c>
      <c r="C59" s="10" t="s">
        <v>134</v>
      </c>
      <c r="D59" s="10" t="s">
        <v>319</v>
      </c>
      <c r="E59" s="11" t="s">
        <v>320</v>
      </c>
      <c r="F59" s="10" t="s">
        <v>30</v>
      </c>
      <c r="G59" s="10" t="s">
        <v>321</v>
      </c>
      <c r="H59" s="10" t="s">
        <v>322</v>
      </c>
      <c r="I59" s="10" t="s">
        <v>323</v>
      </c>
      <c r="J59" s="10" t="s">
        <v>324</v>
      </c>
      <c r="K59" s="10" t="str">
        <f aca="false">J59&amp;" | Virtualsphere"</f>
        <v>RFID Cable Tie Tags – UHF, HF &amp; LF | Virtualsphere</v>
      </c>
      <c r="L59" s="12" t="n">
        <f aca="false">IF(K59="","",LEN(K59))</f>
        <v>50</v>
      </c>
      <c r="M59" s="13" t="inlineStr">
        <is>
          <t xml:space="preserve">Fixed</t>
        </is>
      </c>
      <c r="N59" s="13" t="inlineStr">
        <is>
          <t xml:space="preserve">Claude Code</t>
        </is>
      </c>
      <c r="O59" s="13" t="inlineStr">
        <is>
          <t xml:space="preserve">9 Oct 2026: SEO title (Meta Title) changed in the live catalog from 'RFID Cable Tie Tags | UHF, HF &amp; LF Asset Tracking Tags' to 'RFID Cable Tie Tags – UHF, HF &amp; LF' (brand is added by the site, so 50 chars in Google).
Verified live: page &lt;title&gt; reads 'RFID Cable Tie Tags – UHF, HF &amp; LF | Virtualsphere'.</t>
        </is>
      </c>
    </row>
    <row r="60" customFormat="false" ht="54.6" hidden="false" customHeight="false" outlineLevel="0" collapsed="false">
      <c r="A60" s="10" t="s">
        <v>325</v>
      </c>
      <c r="B60" s="10" t="s">
        <v>15</v>
      </c>
      <c r="C60" s="10" t="s">
        <v>134</v>
      </c>
      <c r="D60" s="10" t="s">
        <v>326</v>
      </c>
      <c r="E60" s="11" t="s">
        <v>327</v>
      </c>
      <c r="F60" s="10" t="s">
        <v>30</v>
      </c>
      <c r="G60" s="10" t="s">
        <v>328</v>
      </c>
      <c r="H60" s="10" t="s">
        <v>322</v>
      </c>
      <c r="I60" s="10" t="s">
        <v>323</v>
      </c>
      <c r="J60" s="10" t="s">
        <v>329</v>
      </c>
      <c r="K60" s="10" t="str">
        <f aca="false">J60&amp;" | Virtualsphere"</f>
        <v>RFID Laundry Silicon Tags, Washable UHF | Virtualsphere</v>
      </c>
      <c r="L60" s="12" t="n">
        <f aca="false">IF(K60="","",LEN(K60))</f>
        <v>55</v>
      </c>
      <c r="M60" s="13" t="inlineStr">
        <is>
          <t xml:space="preserve">Fixed</t>
        </is>
      </c>
      <c r="N60" s="13" t="inlineStr">
        <is>
          <t xml:space="preserve">Claude Code</t>
        </is>
      </c>
      <c r="O60" s="13" t="inlineStr">
        <is>
          <t xml:space="preserve">9 Oct 2026: SEO title (Meta Title) changed in the live catalog from 'RFID Laundry Silicon Tags | Washable UHF Textile RFID Tags' to 'RFID Laundry Silicon Tags, Washable UHF' (brand is added by the site, so 55 chars in Google).
Verified live: page &lt;title&gt; reads 'RFID Laundry Silicon Tags, Washable UHF | Virtualsphere'.</t>
        </is>
      </c>
    </row>
    <row r="61" customFormat="false" ht="54.6" hidden="false" customHeight="false" outlineLevel="0" collapsed="false">
      <c r="A61" s="10" t="s">
        <v>330</v>
      </c>
      <c r="B61" s="10" t="s">
        <v>15</v>
      </c>
      <c r="C61" s="10" t="s">
        <v>134</v>
      </c>
      <c r="D61" s="10" t="s">
        <v>331</v>
      </c>
      <c r="E61" s="11" t="s">
        <v>332</v>
      </c>
      <c r="F61" s="10" t="s">
        <v>30</v>
      </c>
      <c r="G61" s="10" t="s">
        <v>333</v>
      </c>
      <c r="H61" s="10" t="s">
        <v>322</v>
      </c>
      <c r="I61" s="10" t="s">
        <v>323</v>
      </c>
      <c r="J61" s="10" t="s">
        <v>334</v>
      </c>
      <c r="K61" s="10" t="str">
        <f aca="false">J61&amp;" | Virtualsphere"</f>
        <v>VS Ferric-100 UHF On-Metal RFID Tags | Virtualsphere</v>
      </c>
      <c r="L61" s="12" t="n">
        <f aca="false">IF(K61="","",LEN(K61))</f>
        <v>52</v>
      </c>
      <c r="M61" s="13" t="inlineStr">
        <is>
          <t xml:space="preserve">Fixed</t>
        </is>
      </c>
      <c r="N61" s="13" t="inlineStr">
        <is>
          <t xml:space="preserve">Claude Code</t>
        </is>
      </c>
      <c r="O61" s="13" t="inlineStr">
        <is>
          <t xml:space="preserve">9 Oct 2026: SEO title (Meta Title) changed in the live catalog from 'RFID Ferric 100 Metal Tags | UHF ABS On-Metal RFID Tags' to 'VS Ferric-100 UHF On-Metal RFID Tags' (brand is added by the site, so 52 chars in Google).
Verified live: page &lt;title&gt; reads 'VS Ferric-100 UHF On-Metal RFID Tags | Virtualsphere'.</t>
        </is>
      </c>
    </row>
    <row r="62" customFormat="false" ht="54.6" hidden="false" customHeight="false" outlineLevel="0" collapsed="false">
      <c r="A62" s="10" t="s">
        <v>335</v>
      </c>
      <c r="B62" s="10" t="s">
        <v>15</v>
      </c>
      <c r="C62" s="10" t="s">
        <v>134</v>
      </c>
      <c r="D62" s="10" t="s">
        <v>336</v>
      </c>
      <c r="E62" s="11" t="s">
        <v>337</v>
      </c>
      <c r="F62" s="10" t="s">
        <v>30</v>
      </c>
      <c r="G62" s="10" t="s">
        <v>338</v>
      </c>
      <c r="H62" s="10" t="s">
        <v>322</v>
      </c>
      <c r="I62" s="10" t="s">
        <v>323</v>
      </c>
      <c r="J62" s="10" t="s">
        <v>339</v>
      </c>
      <c r="K62" s="10" t="str">
        <f aca="false">J62&amp;" | Virtualsphere"</f>
        <v>VSL-A1 Android UHF RFID Fixed Reader | Virtualsphere</v>
      </c>
      <c r="L62" s="12" t="n">
        <f aca="false">IF(K62="","",LEN(K62))</f>
        <v>52</v>
      </c>
      <c r="M62" s="13" t="inlineStr">
        <is>
          <t xml:space="preserve">Fixed</t>
        </is>
      </c>
      <c r="N62" s="13" t="inlineStr">
        <is>
          <t xml:space="preserve">Claude Code</t>
        </is>
      </c>
      <c r="O62" s="13" t="inlineStr">
        <is>
          <t xml:space="preserve">9 Oct 2026: SEO title (Meta Title) changed in the live catalog from 'VSL-A1 RFID Fixed Reader | Android UHF RFID Reader' to 'VSL-A1 Android UHF RFID Fixed Reader' (brand is added by the site, so 52 chars in Google).
Verified live: page &lt;title&gt; reads 'VSL-A1 Android UHF RFID Fixed Reader | Virtualsphere'.</t>
        </is>
      </c>
    </row>
    <row r="63" customFormat="false" ht="54.6" hidden="false" customHeight="false" outlineLevel="0" collapsed="false">
      <c r="A63" s="10" t="s">
        <v>340</v>
      </c>
      <c r="B63" s="10" t="s">
        <v>15</v>
      </c>
      <c r="C63" s="10" t="s">
        <v>134</v>
      </c>
      <c r="D63" s="10" t="s">
        <v>341</v>
      </c>
      <c r="E63" s="11" t="s">
        <v>342</v>
      </c>
      <c r="F63" s="10" t="s">
        <v>30</v>
      </c>
      <c r="G63" s="10" t="s">
        <v>343</v>
      </c>
      <c r="H63" s="10" t="s">
        <v>322</v>
      </c>
      <c r="I63" s="10" t="s">
        <v>323</v>
      </c>
      <c r="J63" s="10" t="s">
        <v>344</v>
      </c>
      <c r="K63" s="10" t="str">
        <f aca="false">J63&amp;" | Virtualsphere"</f>
        <v>VST-9662 Printable UHF RFID Labels | Virtualsphere</v>
      </c>
      <c r="L63" s="12" t="n">
        <f aca="false">IF(K63="","",LEN(K63))</f>
        <v>50</v>
      </c>
      <c r="M63" s="13" t="inlineStr">
        <is>
          <t xml:space="preserve">Fixed</t>
        </is>
      </c>
      <c r="N63" s="13" t="inlineStr">
        <is>
          <t xml:space="preserve">Claude Code</t>
        </is>
      </c>
      <c r="O63" s="13" t="inlineStr">
        <is>
          <t xml:space="preserve">9 Oct 2026: SEO title (Meta Title) changed in the live catalog from 'VST-9662 RFID UHF Labels | Printable Higgs-3 Tags' to 'VST-9662 Printable UHF RFID Labels' (brand is added by the site, so 50 chars in Google).
Verified live: page &lt;title&gt; reads 'VST-9662 Printable UHF RFID Labels | Virtualsphere'.</t>
        </is>
      </c>
    </row>
    <row r="64" customFormat="false" ht="54.6" hidden="false" customHeight="false" outlineLevel="0" collapsed="false">
      <c r="A64" s="10" t="s">
        <v>345</v>
      </c>
      <c r="B64" s="10" t="s">
        <v>15</v>
      </c>
      <c r="C64" s="10" t="s">
        <v>134</v>
      </c>
      <c r="D64" s="10" t="s">
        <v>346</v>
      </c>
      <c r="E64" s="11" t="s">
        <v>347</v>
      </c>
      <c r="F64" s="10" t="s">
        <v>30</v>
      </c>
      <c r="G64" s="10" t="s">
        <v>348</v>
      </c>
      <c r="H64" s="10" t="s">
        <v>322</v>
      </c>
      <c r="I64" s="10" t="s">
        <v>323</v>
      </c>
      <c r="J64" s="10" t="s">
        <v>349</v>
      </c>
      <c r="K64" s="10" t="str">
        <f aca="false">J64&amp;" | Virtualsphere"</f>
        <v>RFID Laundry Textile Tags, Washable UHF | Virtualsphere</v>
      </c>
      <c r="L64" s="12" t="n">
        <f aca="false">IF(K64="","",LEN(K64))</f>
        <v>55</v>
      </c>
      <c r="M64" s="13" t="inlineStr">
        <is>
          <t xml:space="preserve">Fixed</t>
        </is>
      </c>
      <c r="N64" s="13" t="inlineStr">
        <is>
          <t xml:space="preserve">Claude Code</t>
        </is>
      </c>
      <c r="O64" s="13" t="inlineStr">
        <is>
          <t xml:space="preserve">9 Oct 2026: SEO title (Meta Title) changed in the live catalog from 'RFID Laundry Textile Tags | Washable UHF Fabric RFID Tags' to 'RFID Laundry Textile Tags, Washable UHF' (brand is added by the site, so 55 chars in Google).
Verified live: page &lt;title&gt; reads 'RFID Laundry Textile Tags, Washable UHF | Virtualsphere'.</t>
        </is>
      </c>
    </row>
    <row r="65" customFormat="false" ht="54.6" hidden="false" customHeight="false" outlineLevel="0" collapsed="false">
      <c r="A65" s="10" t="s">
        <v>350</v>
      </c>
      <c r="B65" s="10" t="s">
        <v>15</v>
      </c>
      <c r="C65" s="10" t="s">
        <v>134</v>
      </c>
      <c r="D65" s="10" t="s">
        <v>351</v>
      </c>
      <c r="E65" s="11" t="s">
        <v>352</v>
      </c>
      <c r="F65" s="10" t="s">
        <v>30</v>
      </c>
      <c r="G65" s="10" t="s">
        <v>353</v>
      </c>
      <c r="H65" s="10" t="s">
        <v>322</v>
      </c>
      <c r="I65" s="10" t="s">
        <v>323</v>
      </c>
      <c r="J65" s="10" t="s">
        <v>354</v>
      </c>
      <c r="K65" s="10" t="str">
        <f aca="false">J65&amp;" | Virtualsphere"</f>
        <v>VST-9640 Slim UHF RFID Inlays, Higgs-3 | Virtualsphere</v>
      </c>
      <c r="L65" s="12" t="n">
        <f aca="false">IF(K65="","",LEN(K65))</f>
        <v>54</v>
      </c>
      <c r="M65" s="13" t="inlineStr">
        <is>
          <t xml:space="preserve">Fixed</t>
        </is>
      </c>
      <c r="N65" s="13" t="inlineStr">
        <is>
          <t xml:space="preserve">Claude Code</t>
        </is>
      </c>
      <c r="O65" s="13" t="inlineStr">
        <is>
          <t xml:space="preserve">9 Oct 2026: SEO title (Meta Title) changed in the live catalog from 'VST-9640 RFID UHF Inlays | Slim 98×12 mm Higgs-3 Tag' to 'VST-9640 Slim UHF RFID Inlays, Higgs-3' (brand is added by the site, so 54 chars in Google).
Verified live: page &lt;title&gt; reads 'VST-9640 Slim UHF RFID Inlays, Higgs-3 | Virtualsphere'.</t>
        </is>
      </c>
    </row>
    <row r="66" customFormat="false" ht="54.6" hidden="false" customHeight="false" outlineLevel="0" collapsed="false">
      <c r="A66" s="10" t="s">
        <v>355</v>
      </c>
      <c r="B66" s="10" t="s">
        <v>15</v>
      </c>
      <c r="C66" s="10" t="s">
        <v>134</v>
      </c>
      <c r="D66" s="10" t="s">
        <v>356</v>
      </c>
      <c r="E66" s="11" t="s">
        <v>357</v>
      </c>
      <c r="F66" s="10" t="s">
        <v>30</v>
      </c>
      <c r="G66" s="10" t="s">
        <v>358</v>
      </c>
      <c r="H66" s="10" t="s">
        <v>322</v>
      </c>
      <c r="I66" s="10" t="s">
        <v>323</v>
      </c>
      <c r="J66" s="10" t="s">
        <v>359</v>
      </c>
      <c r="K66" s="10" t="str">
        <f aca="false">J66&amp;" | Virtualsphere"</f>
        <v>Dogbone UHF RFID Inlays, Impinj M730 | Virtualsphere</v>
      </c>
      <c r="L66" s="12" t="n">
        <f aca="false">IF(K66="","",LEN(K66))</f>
        <v>52</v>
      </c>
      <c r="M66" s="13" t="inlineStr">
        <is>
          <t xml:space="preserve">Fixed</t>
        </is>
      </c>
      <c r="N66" s="13" t="inlineStr">
        <is>
          <t xml:space="preserve">Claude Code</t>
        </is>
      </c>
      <c r="O66" s="13" t="inlineStr">
        <is>
          <t xml:space="preserve">9 Oct 2026: SEO title (Meta Title) changed in the live catalog from 'Dogbone RFID UHF Inlays | Impinj M730 Tag, 15 m Range' to 'Dogbone UHF RFID Inlays, Impinj M730' (brand is added by the site, so 52 chars in Google).
Verified live: page &lt;title&gt; reads 'Dogbone UHF RFID Inlays, Impinj M730 | Virtualsphere'.</t>
        </is>
      </c>
    </row>
    <row r="67" customFormat="false" ht="54.6" hidden="false" customHeight="false" outlineLevel="0" collapsed="false">
      <c r="A67" s="10" t="s">
        <v>360</v>
      </c>
      <c r="B67" s="10" t="s">
        <v>15</v>
      </c>
      <c r="C67" s="10" t="s">
        <v>134</v>
      </c>
      <c r="D67" s="10" t="s">
        <v>187</v>
      </c>
      <c r="E67" s="11" t="s">
        <v>188</v>
      </c>
      <c r="F67" s="10" t="s">
        <v>30</v>
      </c>
      <c r="G67" s="10" t="s">
        <v>189</v>
      </c>
      <c r="H67" s="10" t="s">
        <v>322</v>
      </c>
      <c r="I67" s="10" t="s">
        <v>323</v>
      </c>
      <c r="J67" s="10" t="s">
        <v>190</v>
      </c>
      <c r="K67" s="10" t="str">
        <f aca="false">J67&amp;" | Virtualsphere"</f>
        <v>UA12 12dBi Circular UHF RFID Antenna | Virtualsphere</v>
      </c>
      <c r="L67" s="12" t="n">
        <f aca="false">IF(K67="","",LEN(K67))</f>
        <v>52</v>
      </c>
      <c r="M67" s="13" t="inlineStr">
        <is>
          <t xml:space="preserve">Fixed</t>
        </is>
      </c>
      <c r="N67" s="13"/>
      <c r="O67" s="13" t="inlineStr">
        <is>
          <t xml:space="preserve">Already fixed before 9 Oct 2026 (commit 09f194b, 7 Oct): the title is set in PRODUCT_TITLES (src/app/(public)/products/[slug]/page.tsx). No change needed.
Checked live 9 Oct 2026: title is 'UA12 12dBi Circular UHF RFID Antenna | Virtualsphere' (52 chars).</t>
        </is>
      </c>
    </row>
    <row r="68" customFormat="false" ht="67.5" hidden="false" customHeight="false" outlineLevel="0" collapsed="false">
      <c r="A68" s="10" t="s">
        <v>361</v>
      </c>
      <c r="B68" s="10" t="s">
        <v>15</v>
      </c>
      <c r="C68" s="10" t="s">
        <v>134</v>
      </c>
      <c r="D68" s="10" t="s">
        <v>275</v>
      </c>
      <c r="E68" s="11" t="s">
        <v>276</v>
      </c>
      <c r="F68" s="10" t="s">
        <v>31</v>
      </c>
      <c r="G68" s="10" t="s">
        <v>362</v>
      </c>
      <c r="H68" s="10" t="s">
        <v>363</v>
      </c>
      <c r="I68" s="10" t="s">
        <v>198</v>
      </c>
      <c r="J68" s="10" t="s">
        <v>364</v>
      </c>
      <c r="K68" s="10" t="str">
        <f aca="false">J68&amp;" | Virtualsphere"</f>
        <v>HRP 70 13.56MHz HF RFID USB Pendrive Reader | Virtualsphere</v>
      </c>
      <c r="L68" s="12" t="n">
        <f aca="false">IF(K68="","",LEN(K68))</f>
        <v>59</v>
      </c>
      <c r="M68" s="13" t="inlineStr">
        <is>
          <t xml:space="preserve">Fixed</t>
        </is>
      </c>
      <c r="N68" s="13" t="inlineStr">
        <is>
          <t xml:space="preserve">Claude Code</t>
        </is>
      </c>
      <c r="O68" s="13" t="inlineStr">
        <is>
          <t xml:space="preserve">9 Oct 2026: SEO title (Meta Title) changed in the live catalog from 'RFID HRP 70 HF Pendrive reader' to 'HRP 70 13.56MHz HF RFID USB Pendrive Reader' (brand is added by the site, so 59 chars in Google).
Verified live: page &lt;title&gt; reads 'HRP 70 13.56MHz HF RFID USB Pendrive Reader | Virtualsphere'.</t>
        </is>
      </c>
    </row>
    <row r="69" customFormat="false" ht="46.25" hidden="false" customHeight="false" outlineLevel="0" collapsed="false">
      <c r="A69" s="10" t="s">
        <v>365</v>
      </c>
      <c r="B69" s="10" t="s">
        <v>15</v>
      </c>
      <c r="C69" s="10" t="s">
        <v>134</v>
      </c>
      <c r="D69" s="10" t="s">
        <v>254</v>
      </c>
      <c r="E69" s="11" t="s">
        <v>255</v>
      </c>
      <c r="F69" s="10" t="s">
        <v>31</v>
      </c>
      <c r="G69" s="10" t="s">
        <v>366</v>
      </c>
      <c r="H69" s="10" t="s">
        <v>367</v>
      </c>
      <c r="I69" s="10" t="s">
        <v>198</v>
      </c>
      <c r="J69" s="10" t="s">
        <v>368</v>
      </c>
      <c r="K69" s="10" t="str">
        <f aca="false">J69&amp;" | Virtualsphere"</f>
        <v>UHR 72 UHF RFID Handheld Reader | Virtualsphere</v>
      </c>
      <c r="L69" s="12" t="n">
        <f aca="false">IF(K69="","",LEN(K69))</f>
        <v>47</v>
      </c>
      <c r="M69" s="13" t="inlineStr">
        <is>
          <t xml:space="preserve">Fixed</t>
        </is>
      </c>
      <c r="N69" s="13" t="inlineStr">
        <is>
          <t xml:space="preserve">Claude Code</t>
        </is>
      </c>
      <c r="O69" s="13" t="inlineStr">
        <is>
          <t xml:space="preserve">9 Oct 2026: SEO title (Meta Title) changed in the live catalog from 'RFID Handheld Reader | UHR 72' to 'UHR 72 UHF RFID Handheld Reader' (brand is added by the site, so 47 chars in Google).
Verified live: page &lt;title&gt; reads 'UHR 72 UHF RFID Handheld Reader | Virtualsphere'.</t>
        </is>
      </c>
    </row>
    <row r="70" customFormat="false" ht="67.5" hidden="false" customHeight="false" outlineLevel="0" collapsed="false">
      <c r="A70" s="10" t="s">
        <v>369</v>
      </c>
      <c r="B70" s="10" t="s">
        <v>15</v>
      </c>
      <c r="C70" s="10" t="s">
        <v>134</v>
      </c>
      <c r="D70" s="10" t="s">
        <v>260</v>
      </c>
      <c r="E70" s="11" t="s">
        <v>261</v>
      </c>
      <c r="F70" s="10" t="s">
        <v>31</v>
      </c>
      <c r="G70" s="10" t="s">
        <v>370</v>
      </c>
      <c r="H70" s="10" t="s">
        <v>371</v>
      </c>
      <c r="I70" s="10" t="s">
        <v>198</v>
      </c>
      <c r="J70" s="10" t="s">
        <v>372</v>
      </c>
      <c r="K70" s="10" t="str">
        <f aca="false">J70&amp;" | Virtualsphere"</f>
        <v>UDM9R Long Range Integrated UHF RFID Reader | Virtualsphere</v>
      </c>
      <c r="L70" s="12" t="n">
        <f aca="false">IF(K70="","",LEN(K70))</f>
        <v>59</v>
      </c>
      <c r="M70" s="13" t="inlineStr">
        <is>
          <t xml:space="preserve">Fixed</t>
        </is>
      </c>
      <c r="N70" s="13" t="inlineStr">
        <is>
          <t xml:space="preserve">Claude Code</t>
        </is>
      </c>
      <c r="O70" s="13" t="inlineStr">
        <is>
          <t xml:space="preserve">9 Oct 2026: SEO title (Meta Title) changed in the live catalog from 'UDM9R UHF Integrated Reader' to 'UDM9R Long Range Integrated UHF RFID Reader' (brand is added by the site, so 59 chars in Google).
Verified live: page &lt;title&gt; reads 'UDM9R Long Range Integrated UHF RFID Reader | Virtualsphere'.</t>
        </is>
      </c>
    </row>
    <row r="71" customFormat="false" ht="54.6" hidden="false" customHeight="false" outlineLevel="0" collapsed="false">
      <c r="A71" s="10" t="s">
        <v>373</v>
      </c>
      <c r="B71" s="10" t="s">
        <v>15</v>
      </c>
      <c r="C71" s="10" t="s">
        <v>134</v>
      </c>
      <c r="D71" s="10" t="s">
        <v>265</v>
      </c>
      <c r="E71" s="11" t="s">
        <v>266</v>
      </c>
      <c r="F71" s="10" t="s">
        <v>31</v>
      </c>
      <c r="G71" s="10" t="s">
        <v>374</v>
      </c>
      <c r="H71" s="10" t="s">
        <v>375</v>
      </c>
      <c r="I71" s="10" t="s">
        <v>198</v>
      </c>
      <c r="J71" s="10" t="s">
        <v>376</v>
      </c>
      <c r="K71" s="10" t="str">
        <f aca="false">J71&amp;" | Virtualsphere"</f>
        <v>UDM12R Impinj Integrated UHF RFID Reader | Virtualsphere</v>
      </c>
      <c r="L71" s="12" t="n">
        <f aca="false">IF(K71="","",LEN(K71))</f>
        <v>56</v>
      </c>
      <c r="M71" s="13" t="inlineStr">
        <is>
          <t xml:space="preserve">Fixed</t>
        </is>
      </c>
      <c r="N71" s="13" t="inlineStr">
        <is>
          <t xml:space="preserve">Claude Code</t>
        </is>
      </c>
      <c r="O71" s="13" t="inlineStr">
        <is>
          <t xml:space="preserve">9 Oct 2026: SEO title (Meta Title) changed in the live catalog from 'UDM12R UHF Integrated Reader' to 'UDM12R Impinj Integrated UHF RFID Reader' (brand is added by the site, so 56 chars in Google).
Verified live: page &lt;title&gt; reads 'UDM12R Impinj Integrated UHF RFID Reader | Virtualsphere'.</t>
        </is>
      </c>
    </row>
    <row r="72" customFormat="false" ht="54.6" hidden="false" customHeight="false" outlineLevel="0" collapsed="false">
      <c r="A72" s="10" t="s">
        <v>377</v>
      </c>
      <c r="B72" s="10" t="s">
        <v>15</v>
      </c>
      <c r="C72" s="10" t="s">
        <v>134</v>
      </c>
      <c r="D72" s="10" t="s">
        <v>270</v>
      </c>
      <c r="E72" s="11" t="s">
        <v>271</v>
      </c>
      <c r="F72" s="10" t="s">
        <v>31</v>
      </c>
      <c r="G72" s="10" t="s">
        <v>378</v>
      </c>
      <c r="H72" s="10" t="s">
        <v>379</v>
      </c>
      <c r="I72" s="10" t="s">
        <v>198</v>
      </c>
      <c r="J72" s="10" t="s">
        <v>380</v>
      </c>
      <c r="K72" s="10" t="str">
        <f aca="false">J72&amp;" | Virtualsphere"</f>
        <v>UDR 107 Long Range UHF RFID Desktop Reader | Virtualsphere</v>
      </c>
      <c r="L72" s="12" t="n">
        <f aca="false">IF(K72="","",LEN(K72))</f>
        <v>58</v>
      </c>
      <c r="M72" s="13" t="inlineStr">
        <is>
          <t xml:space="preserve">Fixed</t>
        </is>
      </c>
      <c r="N72" s="13" t="inlineStr">
        <is>
          <t xml:space="preserve">Claude Code</t>
        </is>
      </c>
      <c r="O72" s="13" t="inlineStr">
        <is>
          <t xml:space="preserve">9 Oct 2026: SEO title (Meta Title) changed in the live catalog from 'Long Range RFID Reader | UDR 107' to 'UDR 107 Long Range UHF RFID Desktop Reader' (brand is added by the site, so 58 chars in Google).
Verified live: page &lt;title&gt; reads 'UDR 107 Long Range UHF RFID Desktop Reader | Virtualsphere'.</t>
        </is>
      </c>
    </row>
    <row r="73" customFormat="false" ht="67.5" hidden="false" customHeight="false" outlineLevel="0" collapsed="false">
      <c r="A73" s="10" t="s">
        <v>381</v>
      </c>
      <c r="B73" s="10" t="s">
        <v>15</v>
      </c>
      <c r="C73" s="10" t="s">
        <v>134</v>
      </c>
      <c r="D73" s="10" t="s">
        <v>382</v>
      </c>
      <c r="E73" s="11" t="s">
        <v>383</v>
      </c>
      <c r="F73" s="10" t="s">
        <v>32</v>
      </c>
      <c r="G73" s="10" t="s">
        <v>241</v>
      </c>
      <c r="H73" s="10" t="s">
        <v>384</v>
      </c>
      <c r="I73" s="10" t="s">
        <v>243</v>
      </c>
      <c r="J73" s="10" t="s">
        <v>385</v>
      </c>
      <c r="K73" s="10"/>
      <c r="L73" s="12"/>
      <c r="M73" s="13" t="inlineStr">
        <is>
          <t xml:space="preserve">Fixed</t>
        </is>
      </c>
      <c r="N73" s="13" t="inlineStr">
        <is>
          <t xml:space="preserve">Claude Code</t>
        </is>
      </c>
      <c r="O73" s="13" t="inlineStr">
        <is>
          <t xml:space="preserve">9 Oct 2026: product name (the H1) changed in the live catalog from 'UDR 105' to 'UDR-W105 UHF RFID Desktop Reader &amp; Writer', matching the page title. The Model field was also changed from 'UDR 105' to 'UDR-W105' so the details table matches; chosen by the site owner.
Verified live: exactly one H1: 'UDR-W105 UHF RFID Desktop Reader &amp; Writer'; page title 'UDR-W105 UHF RFID Desktop Reader &amp; Writer | Virtualsphere'.</t>
        </is>
      </c>
    </row>
    <row r="74" customFormat="false" ht="57.45" hidden="false" customHeight="false" outlineLevel="0" collapsed="false">
      <c r="A74" s="10" t="s">
        <v>386</v>
      </c>
      <c r="B74" s="10" t="s">
        <v>15</v>
      </c>
      <c r="C74" s="10" t="s">
        <v>134</v>
      </c>
      <c r="D74" s="10" t="s">
        <v>326</v>
      </c>
      <c r="E74" s="11" t="s">
        <v>327</v>
      </c>
      <c r="F74" s="10" t="s">
        <v>32</v>
      </c>
      <c r="G74" s="10" t="s">
        <v>241</v>
      </c>
      <c r="H74" s="10" t="s">
        <v>387</v>
      </c>
      <c r="I74" s="10" t="s">
        <v>243</v>
      </c>
      <c r="J74" s="10" t="s">
        <v>388</v>
      </c>
      <c r="K74" s="10"/>
      <c r="L74" s="12"/>
      <c r="M74" s="13" t="inlineStr">
        <is>
          <t xml:space="preserve">Fixed</t>
        </is>
      </c>
      <c r="N74" s="13" t="inlineStr">
        <is>
          <t xml:space="preserve">Claude Code</t>
        </is>
      </c>
      <c r="O74" s="13" t="inlineStr">
        <is>
          <t xml:space="preserve">9 Oct 2026: product name (the H1) changed in the live catalog from 'RFID SILICON TAG' to 'RFID Laundry Silicon Tags', matching the page title.
Verified live: exactly one H1: 'RFID Laundry Silicon Tags'; page title 'RFID Laundry Silicon Tags, Washable UHF | Virtualsphere'.</t>
        </is>
      </c>
    </row>
  </sheetData>
  <autoFilter ref="A1:O74"/>
  <conditionalFormatting sqref="B2:B74">
    <cfRule type="cellIs" priority="2" operator="equal" aboveAverage="0" equalAverage="0" bottom="0" percent="0" rank="0" text="" dxfId="8">
      <formula>"High"</formula>
    </cfRule>
    <cfRule type="cellIs" priority="3" operator="equal" aboveAverage="0" equalAverage="0" bottom="0" percent="0" rank="0" text="" dxfId="9">
      <formula>"Medium"</formula>
    </cfRule>
    <cfRule type="cellIs" priority="4" operator="equal" aboveAverage="0" equalAverage="0" bottom="0" percent="0" rank="0" text="" dxfId="10">
      <formula>"Low"</formula>
    </cfRule>
  </conditionalFormatting>
  <conditionalFormatting sqref="L2:L74">
    <cfRule type="expression" priority="5" aboveAverage="0" equalAverage="0" bottom="0" percent="0" rank="0" text="" dxfId="8">
      <formula>AND(ISNUMBER(L2),L2&gt;60)</formula>
    </cfRule>
  </conditionalFormatting>
  <conditionalFormatting sqref="M2:M74">
    <cfRule type="expression" priority="6" aboveAverage="0" equalAverage="0" bottom="0" percent="0" rank="0" text="" dxfId="10">
      <formula>OR(M2="Fixed",M2="Verified")</formula>
    </cfRule>
  </conditionalFormatting>
  <dataValidations count="1">
    <dataValidation allowBlank="true" errorStyle="stop" operator="between" showDropDown="false" showErrorMessage="false" showInputMessage="false" sqref="M2:M74" type="list">
      <formula1>"Open,In Progress,Fixed,Verified"</formula1>
      <formula2>0</formula2>
    </dataValidation>
  </dataValidations>
  <hyperlinks>
    <hyperlink ref="E2" r:id="rId1" display="https://indiarfidshop.com/"/>
    <hyperlink ref="E3" r:id="rId2" display="https://indiarfidshop.com/"/>
    <hyperlink ref="E4" r:id="rId3" display="https://indiarfidshop.com/products?category=barcode-printers"/>
    <hyperlink ref="E5" r:id="rId4" display="https://indiarfidshop.com/products?category=integrated-reader"/>
    <hyperlink ref="E6" r:id="rId5" display="https://indiarfidshop.com/products?category=four-port-reader"/>
    <hyperlink ref="E7" r:id="rId6" display="https://indiarfidshop.com/products?category=raid-tags"/>
    <hyperlink ref="E8" r:id="rId7" display="https://indiarfidshop.com/products?category=Rfid-uhf-label-tags"/>
    <hyperlink ref="E9" r:id="rId8" display="https://indiarfidshop.com/products?category=rfid-laundary-tags"/>
    <hyperlink ref="E10" r:id="rId9" display="https://indiarfidshop.com/products?category=rfid-uhf-inlay"/>
    <hyperlink ref="E11" r:id="rId10" display="https://indiarfidshop.com/products?category=uhf-rfid-tags"/>
    <hyperlink ref="E12" r:id="rId11" display="https://indiarfidshop.com/products?category=rfid-uhf-antenna"/>
    <hyperlink ref="E13" r:id="rId12" display="https://indiarfidshop.com/products?category=handheld-reader"/>
    <hyperlink ref="E14" r:id="rId13" display="https://indiarfidshop.com/products?category=uhf-desktop-reader"/>
    <hyperlink ref="E15" r:id="rId14" display="https://indiarfidshop.com/products?category=hf-rfid-desktop-reader"/>
    <hyperlink ref="E16" r:id="rId15" display="https://indiarfidshop.com/products?category=rfid-lf-and-hf-pendrive-reader"/>
    <hyperlink ref="E17" r:id="rId16" display="https://indiarfidshop.com/products/desktop-barcode-printer"/>
    <hyperlink ref="E18" r:id="rId17" display="https://indiarfidshop.com/products/hrd-13"/>
    <hyperlink ref="E19" r:id="rId18" display="https://indiarfidshop.com/products/lrp-70-pendrive-reader"/>
    <hyperlink ref="E20" r:id="rId19" display="https://indiarfidshop.com/products/ua9"/>
    <hyperlink ref="E21" r:id="rId20" display="https://indiarfidshop.com/products/uca3"/>
    <hyperlink ref="E22" r:id="rId21" display="https://indiarfidshop.com/products/udr-w101-uhf-rfid-desktop-reader-writer"/>
    <hyperlink ref="E23" r:id="rId22" display="https://indiarfidshop.com/products/udt9r-rfid-jewellery-tray-reader"/>
    <hyperlink ref="E24" r:id="rId23" display="https://indiarfidshop.com/products/uhr2-uhf-rfid-handheld-reader"/>
    <hyperlink ref="E25" r:id="rId24" display="https://indiarfidshop.com/products/vst-9662-rfid-uhf-inlay-higgs-3"/>
    <hyperlink ref="E26" r:id="rId25" display="https://indiarfidshop.com/products/pbr3-bluetooth-uhf-rfid-portable-reader"/>
    <hyperlink ref="E27" r:id="rId26" display="https://indiarfidshop.com/products/ua12"/>
    <hyperlink ref="E28" r:id="rId27" display="https://indiarfidshop.com/products/uhr-5"/>
    <hyperlink ref="E29" r:id="rId28" display="https://indiarfidshop.com/products/hrd-13"/>
    <hyperlink ref="E30" r:id="rId29" display="https://indiarfidshop.com/products/ua9"/>
    <hyperlink ref="E31" r:id="rId30" display="https://indiarfidshop.com/products/uca3"/>
    <hyperlink ref="E32" r:id="rId31" display="https://indiarfidshop.com/products/lrp-70-pendrive-reader"/>
    <hyperlink ref="E33" r:id="rId32" display="https://indiarfidshop.com/products/uhr-5"/>
    <hyperlink ref="E34" r:id="rId33" display="https://indiarfidshop.com/products/udr-102"/>
    <hyperlink ref="E36" r:id="rId34" display="https://indiarfidshop.com/products"/>
    <hyperlink ref="E37" r:id="rId35" display="https://indiarfidshop.com/privacy"/>
    <hyperlink ref="E38" r:id="rId36" display="https://indiarfidshop.com/terms"/>
    <hyperlink ref="E39" r:id="rId37" display="https://indiarfidshop.com/products?category=raid-tags"/>
    <hyperlink ref="E40" r:id="rId38" display="https://indiarfidshop.com/products?category=rfid-laundary-tags"/>
    <hyperlink ref="E41" r:id="rId39" display="https://indiarfidshop.com/products/udr-w101-uhf-rfid-desktop-reader-writer"/>
    <hyperlink ref="E42" r:id="rId40" display="https://indiarfidshop.com/products/udt9r-rfid-jewellery-tray-reader"/>
    <hyperlink ref="E43" r:id="rId41" display="https://indiarfidshop.com/products/uhr2-uhf-rfid-handheld-reader"/>
    <hyperlink ref="E44" r:id="rId42" display="https://indiarfidshop.com/products/vsl-f2-uhf-rfid-4-port-reader"/>
    <hyperlink ref="E45" r:id="rId43" display="https://indiarfidshop.com/products/uhr-72"/>
    <hyperlink ref="E46" r:id="rId44" display="https://indiarfidshop.com/products/udm9r-Integrated-reader"/>
    <hyperlink ref="E47" r:id="rId45" display="https://indiarfidshop.com/products/udm12r-uhf-Integrated-reader"/>
    <hyperlink ref="E48" r:id="rId46" display="https://indiarfidshop.com/products/udr-107"/>
    <hyperlink ref="E49" r:id="rId47" display="https://indiarfidshop.com/products/hrp-70-pendrive-reader"/>
    <hyperlink ref="E50" r:id="rId48" display="https://indiarfidshop.com/products/udr-102"/>
    <hyperlink ref="E53" r:id="rId49" display="https://indiarfidshop.com/privacy"/>
    <hyperlink ref="E54" r:id="rId50" display="https://indiarfidshop.com/terms"/>
    <hyperlink ref="E55" r:id="rId51" display="https://indiarfidshop.com/categories"/>
    <hyperlink ref="E56" r:id="rId52" display="https://indiarfidshop.com/about"/>
    <hyperlink ref="E57" r:id="rId53" display="https://indiarfidshop.com/contact"/>
    <hyperlink ref="E58" r:id="rId54" display="https://indiarfidshop.com/contact"/>
    <hyperlink ref="E59" r:id="rId55" display="https://indiarfidshop.com/products/RFID-Cable-Tie-uhf-Tags"/>
    <hyperlink ref="E60" r:id="rId56" display="https://indiarfidshop.com/products/RFID-silicon-tags-UHF-laundary-tags"/>
    <hyperlink ref="E61" r:id="rId57" display="https://indiarfidshop.com/products/RFID-Ferric-100-Metal-UHF-Tags"/>
    <hyperlink ref="E62" r:id="rId58" display="https://indiarfidshop.com/products/vsl-a1"/>
    <hyperlink ref="E63" r:id="rId59" display="https://indiarfidshop.com/products/vst-9662-rfid-uhf-labels"/>
    <hyperlink ref="E64" r:id="rId60" display="https://indiarfidshop.com/products/RFID-Laundry-Textile-Tags"/>
    <hyperlink ref="E65" r:id="rId61" display="https://indiarfidshop.com/products/vst-9640-rfid-uhf-inlays"/>
    <hyperlink ref="E66" r:id="rId62" display="https://indiarfidshop.com/products/dogbone-rfid-uhf-inlays"/>
    <hyperlink ref="E67" r:id="rId63" display="https://indiarfidshop.com/products/ua12"/>
    <hyperlink ref="E68" r:id="rId64" display="https://indiarfidshop.com/products/hrp-70-pendrive-reader"/>
    <hyperlink ref="E69" r:id="rId65" display="https://indiarfidshop.com/products/uhr-72"/>
    <hyperlink ref="E70" r:id="rId66" display="https://indiarfidshop.com/products/udm9r-Integrated-reader"/>
    <hyperlink ref="E71" r:id="rId67" display="https://indiarfidshop.com/products/udm12r-uhf-Integrated-reader"/>
    <hyperlink ref="E72" r:id="rId68" display="https://indiarfidshop.com/products/udr-107"/>
    <hyperlink ref="E73" r:id="rId69" display="https://indiarfidshop.com/products/udr-w105-uhf-rfid-desktop-reader-writer"/>
    <hyperlink ref="E74" r:id="rId70" display="https://indiarfidshop.com/products/RFID-silicon-tags-UHF-laundary-tag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58"/>
    <col collapsed="false" customWidth="true" hidden="false" outlineLevel="0" max="4" min="4" style="0" width="70"/>
    <col collapsed="false" customWidth="true" hidden="false" outlineLevel="0" max="5" min="5" style="0" width="8"/>
    <col collapsed="false" customWidth="true" hidden="false" outlineLevel="0" max="7" min="6" style="0" width="12"/>
    <col collapsed="false" customWidth="true" hidden="false" outlineLevel="0" max="8" min="8" style="0" width="13"/>
    <col collapsed="false" customWidth="true" hidden="false" outlineLevel="0" max="10" min="9" style="0" width="10"/>
    <col collapsed="false" customWidth="true" hidden="false" outlineLevel="0" max="11" min="11" style="0" width="11"/>
  </cols>
  <sheetData>
    <row r="1" customFormat="false" ht="35.05" hidden="false" customHeight="false" outlineLevel="0" collapsed="false">
      <c r="A1" s="9" t="s">
        <v>42</v>
      </c>
      <c r="B1" s="9" t="s">
        <v>43</v>
      </c>
      <c r="C1" s="9" t="s">
        <v>44</v>
      </c>
      <c r="D1" s="9" t="s">
        <v>389</v>
      </c>
      <c r="E1" s="9" t="s">
        <v>390</v>
      </c>
      <c r="F1" s="9" t="s">
        <v>391</v>
      </c>
      <c r="G1" s="9" t="s">
        <v>392</v>
      </c>
      <c r="H1" s="9" t="s">
        <v>393</v>
      </c>
      <c r="I1" s="9" t="s">
        <v>394</v>
      </c>
      <c r="J1" s="9" t="s">
        <v>395</v>
      </c>
      <c r="K1" s="9" t="s">
        <v>396</v>
      </c>
    </row>
    <row r="2" customFormat="false" ht="15" hidden="false" customHeight="false" outlineLevel="0" collapsed="false">
      <c r="A2" s="10" t="s">
        <v>56</v>
      </c>
      <c r="B2" s="10" t="s">
        <v>57</v>
      </c>
      <c r="C2" s="11" t="s">
        <v>58</v>
      </c>
      <c r="D2" s="10" t="s">
        <v>59</v>
      </c>
      <c r="E2" s="10" t="n">
        <f aca="false">LEN(D2)</f>
        <v>57</v>
      </c>
      <c r="F2" s="12" t="n">
        <f aca="false">(LEN(D2)-LEN(SUBSTITUTE(D2,"Virtualsphere","")))/LEN("Virtualsphere")</f>
        <v>2</v>
      </c>
      <c r="G2" s="12" t="str">
        <f aca="false">IF(E2&gt;60,"Too long",IF(E2&lt;30,"Too short","OK"))</f>
        <v>OK</v>
      </c>
      <c r="H2" s="10" t="str">
        <f aca="false">IF(COUNTIF($D$2:$D$50,D2)&gt;1,"Duplicate","Unique")</f>
        <v>Unique</v>
      </c>
      <c r="I2" s="10" t="n">
        <f aca="false">COUNTIF(Issues!$E$2:$E$74,C2)</f>
        <v>2</v>
      </c>
      <c r="J2" s="10" t="n">
        <f aca="false">COUNTIFS(Issues!$E$2:$E$74,C2,Issues!$M$2:$M$74,"&lt;&gt;Fixed",Issues!$M$2:$M$74,"&lt;&gt;Verified")</f>
        <v>0</v>
      </c>
      <c r="K2" s="10" t="str">
        <f aca="false">IF(J2&gt;0,"Needs fix","OK")</f>
        <v>OK</v>
      </c>
    </row>
    <row r="3" customFormat="false" ht="15" hidden="false" customHeight="false" outlineLevel="0" collapsed="false">
      <c r="A3" s="10" t="s">
        <v>218</v>
      </c>
      <c r="B3" s="10" t="s">
        <v>219</v>
      </c>
      <c r="C3" s="11" t="s">
        <v>220</v>
      </c>
      <c r="D3" s="10" t="s">
        <v>71</v>
      </c>
      <c r="E3" s="10" t="n">
        <f aca="false">LEN(D3)</f>
        <v>24</v>
      </c>
      <c r="F3" s="12" t="n">
        <f aca="false">(LEN(D3)-LEN(SUBSTITUTE(D3,"Virtualsphere","")))/LEN("Virtualsphere")</f>
        <v>1</v>
      </c>
      <c r="G3" s="12" t="str">
        <f aca="false">IF(E3&gt;60,"Too long",IF(E3&lt;30,"Too short","OK"))</f>
        <v>Too short</v>
      </c>
      <c r="H3" s="10" t="str">
        <f aca="false">IF(COUNTIF($D$2:$D$50,D3)&gt;1,"Duplicate","Unique")</f>
        <v>Duplicate</v>
      </c>
      <c r="I3" s="10" t="n">
        <f aca="false">COUNTIF(Issues!$E$2:$E$74,C3)</f>
        <v>1</v>
      </c>
      <c r="J3" s="10" t="n">
        <f aca="false">COUNTIFS(Issues!$E$2:$E$74,C3,Issues!$M$2:$M$74,"&lt;&gt;Fixed",Issues!$M$2:$M$74,"&lt;&gt;Verified")</f>
        <v>0</v>
      </c>
      <c r="K3" s="10" t="str">
        <f aca="false">IF(J3&gt;0,"Needs fix","OK")</f>
        <v>OK</v>
      </c>
    </row>
    <row r="4" customFormat="false" ht="15" hidden="false" customHeight="false" outlineLevel="0" collapsed="false">
      <c r="A4" s="10" t="s">
        <v>218</v>
      </c>
      <c r="B4" s="10" t="s">
        <v>297</v>
      </c>
      <c r="C4" s="11" t="s">
        <v>298</v>
      </c>
      <c r="D4" s="10" t="s">
        <v>299</v>
      </c>
      <c r="E4" s="10" t="n">
        <f aca="false">LEN(D4)</f>
        <v>26</v>
      </c>
      <c r="F4" s="12" t="n">
        <f aca="false">(LEN(D4)-LEN(SUBSTITUTE(D4,"Virtualsphere","")))/LEN("Virtualsphere")</f>
        <v>1</v>
      </c>
      <c r="G4" s="12" t="str">
        <f aca="false">IF(E4&gt;60,"Too long",IF(E4&lt;30,"Too short","OK"))</f>
        <v>Too short</v>
      </c>
      <c r="H4" s="10" t="str">
        <f aca="false">IF(COUNTIF($D$2:$D$50,D4)&gt;1,"Duplicate","Unique")</f>
        <v>Unique</v>
      </c>
      <c r="I4" s="10" t="n">
        <f aca="false">COUNTIF(Issues!$E$2:$E$74,C4)</f>
        <v>1</v>
      </c>
      <c r="J4" s="10" t="n">
        <f aca="false">COUNTIFS(Issues!$E$2:$E$74,C4,Issues!$M$2:$M$74,"&lt;&gt;Fixed",Issues!$M$2:$M$74,"&lt;&gt;Verified")</f>
        <v>0</v>
      </c>
      <c r="K4" s="10" t="str">
        <f aca="false">IF(J4&gt;0,"Needs fix","OK")</f>
        <v>OK</v>
      </c>
    </row>
    <row r="5" customFormat="false" ht="15" hidden="false" customHeight="false" outlineLevel="0" collapsed="false">
      <c r="A5" s="10" t="s">
        <v>218</v>
      </c>
      <c r="B5" s="10" t="s">
        <v>303</v>
      </c>
      <c r="C5" s="11" t="s">
        <v>304</v>
      </c>
      <c r="D5" s="10" t="s">
        <v>305</v>
      </c>
      <c r="E5" s="10" t="n">
        <f aca="false">LEN(D5)</f>
        <v>24</v>
      </c>
      <c r="F5" s="12" t="n">
        <f aca="false">(LEN(D5)-LEN(SUBSTITUTE(D5,"Virtualsphere","")))/LEN("Virtualsphere")</f>
        <v>1</v>
      </c>
      <c r="G5" s="12" t="str">
        <f aca="false">IF(E5&gt;60,"Too long",IF(E5&lt;30,"Too short","OK"))</f>
        <v>Too short</v>
      </c>
      <c r="H5" s="10" t="str">
        <f aca="false">IF(COUNTIF($D$2:$D$50,D5)&gt;1,"Duplicate","Unique")</f>
        <v>Unique</v>
      </c>
      <c r="I5" s="10" t="n">
        <f aca="false">COUNTIF(Issues!$E$2:$E$74,C5)</f>
        <v>1</v>
      </c>
      <c r="J5" s="10" t="n">
        <f aca="false">COUNTIFS(Issues!$E$2:$E$74,C5,Issues!$M$2:$M$74,"&lt;&gt;Fixed",Issues!$M$2:$M$74,"&lt;&gt;Verified")</f>
        <v>0</v>
      </c>
      <c r="K5" s="10" t="str">
        <f aca="false">IF(J5&gt;0,"Needs fix","OK")</f>
        <v>OK</v>
      </c>
    </row>
    <row r="6" customFormat="false" ht="15" hidden="false" customHeight="false" outlineLevel="0" collapsed="false">
      <c r="A6" s="10" t="s">
        <v>218</v>
      </c>
      <c r="B6" s="10" t="s">
        <v>309</v>
      </c>
      <c r="C6" s="11" t="s">
        <v>310</v>
      </c>
      <c r="D6" s="10" t="s">
        <v>311</v>
      </c>
      <c r="E6" s="10" t="n">
        <f aca="false">LEN(D6)</f>
        <v>23</v>
      </c>
      <c r="F6" s="12" t="n">
        <f aca="false">(LEN(D6)-LEN(SUBSTITUTE(D6,"Virtualsphere","")))/LEN("Virtualsphere")</f>
        <v>1</v>
      </c>
      <c r="G6" s="12" t="str">
        <f aca="false">IF(E6&gt;60,"Too long",IF(E6&lt;30,"Too short","OK"))</f>
        <v>Too short</v>
      </c>
      <c r="H6" s="10" t="str">
        <f aca="false">IF(COUNTIF($D$2:$D$50,D6)&gt;1,"Duplicate","Unique")</f>
        <v>Unique</v>
      </c>
      <c r="I6" s="10" t="n">
        <f aca="false">COUNTIF(Issues!$E$2:$E$74,C6)</f>
        <v>2</v>
      </c>
      <c r="J6" s="10" t="n">
        <f aca="false">COUNTIFS(Issues!$E$2:$E$74,C6,Issues!$M$2:$M$74,"&lt;&gt;Fixed",Issues!$M$2:$M$74,"&lt;&gt;Verified")</f>
        <v>0</v>
      </c>
      <c r="K6" s="10" t="str">
        <f aca="false">IF(J6&gt;0,"Needs fix","OK")</f>
        <v>OK</v>
      </c>
    </row>
    <row r="7" customFormat="false" ht="15" hidden="false" customHeight="false" outlineLevel="0" collapsed="false">
      <c r="A7" s="10" t="s">
        <v>218</v>
      </c>
      <c r="B7" s="10" t="s">
        <v>224</v>
      </c>
      <c r="C7" s="11" t="s">
        <v>225</v>
      </c>
      <c r="D7" s="10" t="s">
        <v>226</v>
      </c>
      <c r="E7" s="10" t="n">
        <f aca="false">LEN(D7)</f>
        <v>46</v>
      </c>
      <c r="F7" s="12" t="n">
        <f aca="false">(LEN(D7)-LEN(SUBSTITUTE(D7,"Virtualsphere","")))/LEN("Virtualsphere")</f>
        <v>2</v>
      </c>
      <c r="G7" s="12" t="str">
        <f aca="false">IF(E7&gt;60,"Too long",IF(E7&lt;30,"Too short","OK"))</f>
        <v>OK</v>
      </c>
      <c r="H7" s="10" t="str">
        <f aca="false">IF(COUNTIF($D$2:$D$50,D7)&gt;1,"Duplicate","Unique")</f>
        <v>Unique</v>
      </c>
      <c r="I7" s="10" t="n">
        <f aca="false">COUNTIF(Issues!$E$2:$E$74,C7)</f>
        <v>2</v>
      </c>
      <c r="J7" s="10" t="n">
        <f aca="false">COUNTIFS(Issues!$E$2:$E$74,C7,Issues!$M$2:$M$74,"&lt;&gt;Fixed",Issues!$M$2:$M$74,"&lt;&gt;Verified")</f>
        <v>0</v>
      </c>
      <c r="K7" s="10" t="str">
        <f aca="false">IF(J7&gt;0,"Needs fix","OK")</f>
        <v>OK</v>
      </c>
    </row>
    <row r="8" customFormat="false" ht="15" hidden="false" customHeight="false" outlineLevel="0" collapsed="false">
      <c r="A8" s="10" t="s">
        <v>218</v>
      </c>
      <c r="B8" s="10" t="s">
        <v>229</v>
      </c>
      <c r="C8" s="11" t="s">
        <v>230</v>
      </c>
      <c r="D8" s="10" t="s">
        <v>231</v>
      </c>
      <c r="E8" s="10" t="n">
        <f aca="false">LEN(D8)</f>
        <v>50</v>
      </c>
      <c r="F8" s="12" t="n">
        <f aca="false">(LEN(D8)-LEN(SUBSTITUTE(D8,"Virtualsphere","")))/LEN("Virtualsphere")</f>
        <v>2</v>
      </c>
      <c r="G8" s="12" t="str">
        <f aca="false">IF(E8&gt;60,"Too long",IF(E8&lt;30,"Too short","OK"))</f>
        <v>OK</v>
      </c>
      <c r="H8" s="10" t="str">
        <f aca="false">IF(COUNTIF($D$2:$D$50,D8)&gt;1,"Duplicate","Unique")</f>
        <v>Unique</v>
      </c>
      <c r="I8" s="10" t="n">
        <f aca="false">COUNTIF(Issues!$E$2:$E$74,C8)</f>
        <v>2</v>
      </c>
      <c r="J8" s="10" t="n">
        <f aca="false">COUNTIFS(Issues!$E$2:$E$74,C8,Issues!$M$2:$M$74,"&lt;&gt;Fixed",Issues!$M$2:$M$74,"&lt;&gt;Verified")</f>
        <v>0</v>
      </c>
      <c r="K8" s="10" t="str">
        <f aca="false">IF(J8&gt;0,"Needs fix","OK")</f>
        <v>OK</v>
      </c>
    </row>
    <row r="9" customFormat="false" ht="15" hidden="false" customHeight="false" outlineLevel="0" collapsed="false">
      <c r="A9" s="10" t="s">
        <v>68</v>
      </c>
      <c r="B9" s="10" t="s">
        <v>69</v>
      </c>
      <c r="C9" s="11" t="s">
        <v>70</v>
      </c>
      <c r="D9" s="10" t="s">
        <v>71</v>
      </c>
      <c r="E9" s="10" t="n">
        <f aca="false">LEN(D9)</f>
        <v>24</v>
      </c>
      <c r="F9" s="12" t="n">
        <f aca="false">(LEN(D9)-LEN(SUBSTITUTE(D9,"Virtualsphere","")))/LEN("Virtualsphere")</f>
        <v>1</v>
      </c>
      <c r="G9" s="12" t="str">
        <f aca="false">IF(E9&gt;60,"Too long",IF(E9&lt;30,"Too short","OK"))</f>
        <v>Too short</v>
      </c>
      <c r="H9" s="10" t="str">
        <f aca="false">IF(COUNTIF($D$2:$D$50,D9)&gt;1,"Duplicate","Unique")</f>
        <v>Duplicate</v>
      </c>
      <c r="I9" s="10" t="n">
        <f aca="false">COUNTIF(Issues!$E$2:$E$74,C9)</f>
        <v>1</v>
      </c>
      <c r="J9" s="10" t="n">
        <f aca="false">COUNTIFS(Issues!$E$2:$E$74,C9,Issues!$M$2:$M$74,"&lt;&gt;Fixed",Issues!$M$2:$M$74,"&lt;&gt;Verified")</f>
        <v>0</v>
      </c>
      <c r="K9" s="10" t="str">
        <f aca="false">IF(J9&gt;0,"Needs fix","OK")</f>
        <v>OK</v>
      </c>
    </row>
    <row r="10" customFormat="false" ht="15" hidden="false" customHeight="false" outlineLevel="0" collapsed="false">
      <c r="A10" s="10" t="s">
        <v>68</v>
      </c>
      <c r="B10" s="10" t="s">
        <v>75</v>
      </c>
      <c r="C10" s="11" t="s">
        <v>76</v>
      </c>
      <c r="D10" s="10" t="s">
        <v>71</v>
      </c>
      <c r="E10" s="10" t="n">
        <f aca="false">LEN(D10)</f>
        <v>24</v>
      </c>
      <c r="F10" s="12" t="n">
        <f aca="false">(LEN(D10)-LEN(SUBSTITUTE(D10,"Virtualsphere","")))/LEN("Virtualsphere")</f>
        <v>1</v>
      </c>
      <c r="G10" s="12" t="str">
        <f aca="false">IF(E10&gt;60,"Too long",IF(E10&lt;30,"Too short","OK"))</f>
        <v>Too short</v>
      </c>
      <c r="H10" s="10" t="str">
        <f aca="false">IF(COUNTIF($D$2:$D$50,D10)&gt;1,"Duplicate","Unique")</f>
        <v>Duplicate</v>
      </c>
      <c r="I10" s="10" t="n">
        <f aca="false">COUNTIF(Issues!$E$2:$E$74,C10)</f>
        <v>1</v>
      </c>
      <c r="J10" s="10" t="n">
        <f aca="false">COUNTIFS(Issues!$E$2:$E$74,C10,Issues!$M$2:$M$74,"&lt;&gt;Fixed",Issues!$M$2:$M$74,"&lt;&gt;Verified")</f>
        <v>0</v>
      </c>
      <c r="K10" s="10" t="str">
        <f aca="false">IF(J10&gt;0,"Needs fix","OK")</f>
        <v>OK</v>
      </c>
    </row>
    <row r="11" customFormat="false" ht="15" hidden="false" customHeight="false" outlineLevel="0" collapsed="false">
      <c r="A11" s="10" t="s">
        <v>68</v>
      </c>
      <c r="B11" s="10" t="s">
        <v>80</v>
      </c>
      <c r="C11" s="11" t="s">
        <v>81</v>
      </c>
      <c r="D11" s="10" t="s">
        <v>71</v>
      </c>
      <c r="E11" s="10" t="n">
        <f aca="false">LEN(D11)</f>
        <v>24</v>
      </c>
      <c r="F11" s="12" t="n">
        <f aca="false">(LEN(D11)-LEN(SUBSTITUTE(D11,"Virtualsphere","")))/LEN("Virtualsphere")</f>
        <v>1</v>
      </c>
      <c r="G11" s="12" t="str">
        <f aca="false">IF(E11&gt;60,"Too long",IF(E11&lt;30,"Too short","OK"))</f>
        <v>Too short</v>
      </c>
      <c r="H11" s="10" t="str">
        <f aca="false">IF(COUNTIF($D$2:$D$50,D11)&gt;1,"Duplicate","Unique")</f>
        <v>Duplicate</v>
      </c>
      <c r="I11" s="10" t="n">
        <f aca="false">COUNTIF(Issues!$E$2:$E$74,C11)</f>
        <v>1</v>
      </c>
      <c r="J11" s="10" t="n">
        <f aca="false">COUNTIFS(Issues!$E$2:$E$74,C11,Issues!$M$2:$M$74,"&lt;&gt;Fixed",Issues!$M$2:$M$74,"&lt;&gt;Verified")</f>
        <v>0</v>
      </c>
      <c r="K11" s="10" t="str">
        <f aca="false">IF(J11&gt;0,"Needs fix","OK")</f>
        <v>OK</v>
      </c>
    </row>
    <row r="12" customFormat="false" ht="15" hidden="false" customHeight="false" outlineLevel="0" collapsed="false">
      <c r="A12" s="10" t="s">
        <v>68</v>
      </c>
      <c r="B12" s="10" t="s">
        <v>85</v>
      </c>
      <c r="C12" s="11" t="s">
        <v>86</v>
      </c>
      <c r="D12" s="10" t="s">
        <v>71</v>
      </c>
      <c r="E12" s="10" t="n">
        <f aca="false">LEN(D12)</f>
        <v>24</v>
      </c>
      <c r="F12" s="12" t="n">
        <f aca="false">(LEN(D12)-LEN(SUBSTITUTE(D12,"Virtualsphere","")))/LEN("Virtualsphere")</f>
        <v>1</v>
      </c>
      <c r="G12" s="12" t="str">
        <f aca="false">IF(E12&gt;60,"Too long",IF(E12&lt;30,"Too short","OK"))</f>
        <v>Too short</v>
      </c>
      <c r="H12" s="10" t="str">
        <f aca="false">IF(COUNTIF($D$2:$D$50,D12)&gt;1,"Duplicate","Unique")</f>
        <v>Duplicate</v>
      </c>
      <c r="I12" s="10" t="n">
        <f aca="false">COUNTIF(Issues!$E$2:$E$74,C12)</f>
        <v>2</v>
      </c>
      <c r="J12" s="10" t="n">
        <f aca="false">COUNTIFS(Issues!$E$2:$E$74,C12,Issues!$M$2:$M$74,"&lt;&gt;Fixed",Issues!$M$2:$M$74,"&lt;&gt;Verified")</f>
        <v>0</v>
      </c>
      <c r="K12" s="10" t="str">
        <f aca="false">IF(J12&gt;0,"Needs fix","OK")</f>
        <v>OK</v>
      </c>
    </row>
    <row r="13" customFormat="false" ht="15" hidden="false" customHeight="false" outlineLevel="0" collapsed="false">
      <c r="A13" s="10" t="s">
        <v>68</v>
      </c>
      <c r="B13" s="10" t="s">
        <v>90</v>
      </c>
      <c r="C13" s="11" t="s">
        <v>91</v>
      </c>
      <c r="D13" s="10" t="s">
        <v>71</v>
      </c>
      <c r="E13" s="10" t="n">
        <f aca="false">LEN(D13)</f>
        <v>24</v>
      </c>
      <c r="F13" s="12" t="n">
        <f aca="false">(LEN(D13)-LEN(SUBSTITUTE(D13,"Virtualsphere","")))/LEN("Virtualsphere")</f>
        <v>1</v>
      </c>
      <c r="G13" s="12" t="str">
        <f aca="false">IF(E13&gt;60,"Too long",IF(E13&lt;30,"Too short","OK"))</f>
        <v>Too short</v>
      </c>
      <c r="H13" s="10" t="str">
        <f aca="false">IF(COUNTIF($D$2:$D$50,D13)&gt;1,"Duplicate","Unique")</f>
        <v>Duplicate</v>
      </c>
      <c r="I13" s="10" t="n">
        <f aca="false">COUNTIF(Issues!$E$2:$E$74,C13)</f>
        <v>1</v>
      </c>
      <c r="J13" s="10" t="n">
        <f aca="false">COUNTIFS(Issues!$E$2:$E$74,C13,Issues!$M$2:$M$74,"&lt;&gt;Fixed",Issues!$M$2:$M$74,"&lt;&gt;Verified")</f>
        <v>0</v>
      </c>
      <c r="K13" s="10" t="str">
        <f aca="false">IF(J13&gt;0,"Needs fix","OK")</f>
        <v>OK</v>
      </c>
    </row>
    <row r="14" customFormat="false" ht="15" hidden="false" customHeight="false" outlineLevel="0" collapsed="false">
      <c r="A14" s="10" t="s">
        <v>68</v>
      </c>
      <c r="B14" s="10" t="s">
        <v>95</v>
      </c>
      <c r="C14" s="11" t="s">
        <v>96</v>
      </c>
      <c r="D14" s="10" t="s">
        <v>71</v>
      </c>
      <c r="E14" s="10" t="n">
        <f aca="false">LEN(D14)</f>
        <v>24</v>
      </c>
      <c r="F14" s="12" t="n">
        <f aca="false">(LEN(D14)-LEN(SUBSTITUTE(D14,"Virtualsphere","")))/LEN("Virtualsphere")</f>
        <v>1</v>
      </c>
      <c r="G14" s="12" t="str">
        <f aca="false">IF(E14&gt;60,"Too long",IF(E14&lt;30,"Too short","OK"))</f>
        <v>Too short</v>
      </c>
      <c r="H14" s="10" t="str">
        <f aca="false">IF(COUNTIF($D$2:$D$50,D14)&gt;1,"Duplicate","Unique")</f>
        <v>Duplicate</v>
      </c>
      <c r="I14" s="10" t="n">
        <f aca="false">COUNTIF(Issues!$E$2:$E$74,C14)</f>
        <v>2</v>
      </c>
      <c r="J14" s="10" t="n">
        <f aca="false">COUNTIFS(Issues!$E$2:$E$74,C14,Issues!$M$2:$M$74,"&lt;&gt;Fixed",Issues!$M$2:$M$74,"&lt;&gt;Verified")</f>
        <v>0</v>
      </c>
      <c r="K14" s="10" t="str">
        <f aca="false">IF(J14&gt;0,"Needs fix","OK")</f>
        <v>OK</v>
      </c>
    </row>
    <row r="15" customFormat="false" ht="15" hidden="false" customHeight="false" outlineLevel="0" collapsed="false">
      <c r="A15" s="10" t="s">
        <v>68</v>
      </c>
      <c r="B15" s="10" t="s">
        <v>99</v>
      </c>
      <c r="C15" s="11" t="s">
        <v>100</v>
      </c>
      <c r="D15" s="10" t="s">
        <v>71</v>
      </c>
      <c r="E15" s="10" t="n">
        <f aca="false">LEN(D15)</f>
        <v>24</v>
      </c>
      <c r="F15" s="12" t="n">
        <f aca="false">(LEN(D15)-LEN(SUBSTITUTE(D15,"Virtualsphere","")))/LEN("Virtualsphere")</f>
        <v>1</v>
      </c>
      <c r="G15" s="12" t="str">
        <f aca="false">IF(E15&gt;60,"Too long",IF(E15&lt;30,"Too short","OK"))</f>
        <v>Too short</v>
      </c>
      <c r="H15" s="10" t="str">
        <f aca="false">IF(COUNTIF($D$2:$D$50,D15)&gt;1,"Duplicate","Unique")</f>
        <v>Duplicate</v>
      </c>
      <c r="I15" s="10" t="n">
        <f aca="false">COUNTIF(Issues!$E$2:$E$74,C15)</f>
        <v>1</v>
      </c>
      <c r="J15" s="10" t="n">
        <f aca="false">COUNTIFS(Issues!$E$2:$E$74,C15,Issues!$M$2:$M$74,"&lt;&gt;Fixed",Issues!$M$2:$M$74,"&lt;&gt;Verified")</f>
        <v>0</v>
      </c>
      <c r="K15" s="10" t="str">
        <f aca="false">IF(J15&gt;0,"Needs fix","OK")</f>
        <v>OK</v>
      </c>
    </row>
    <row r="16" customFormat="false" ht="15" hidden="false" customHeight="false" outlineLevel="0" collapsed="false">
      <c r="A16" s="10" t="s">
        <v>68</v>
      </c>
      <c r="B16" s="10" t="s">
        <v>104</v>
      </c>
      <c r="C16" s="11" t="s">
        <v>105</v>
      </c>
      <c r="D16" s="10" t="s">
        <v>71</v>
      </c>
      <c r="E16" s="10" t="n">
        <f aca="false">LEN(D16)</f>
        <v>24</v>
      </c>
      <c r="F16" s="12" t="n">
        <f aca="false">(LEN(D16)-LEN(SUBSTITUTE(D16,"Virtualsphere","")))/LEN("Virtualsphere")</f>
        <v>1</v>
      </c>
      <c r="G16" s="12" t="str">
        <f aca="false">IF(E16&gt;60,"Too long",IF(E16&lt;30,"Too short","OK"))</f>
        <v>Too short</v>
      </c>
      <c r="H16" s="10" t="str">
        <f aca="false">IF(COUNTIF($D$2:$D$50,D16)&gt;1,"Duplicate","Unique")</f>
        <v>Duplicate</v>
      </c>
      <c r="I16" s="10" t="n">
        <f aca="false">COUNTIF(Issues!$E$2:$E$74,C16)</f>
        <v>1</v>
      </c>
      <c r="J16" s="10" t="n">
        <f aca="false">COUNTIFS(Issues!$E$2:$E$74,C16,Issues!$M$2:$M$74,"&lt;&gt;Fixed",Issues!$M$2:$M$74,"&lt;&gt;Verified")</f>
        <v>0</v>
      </c>
      <c r="K16" s="10" t="str">
        <f aca="false">IF(J16&gt;0,"Needs fix","OK")</f>
        <v>OK</v>
      </c>
    </row>
    <row r="17" customFormat="false" ht="15" hidden="false" customHeight="false" outlineLevel="0" collapsed="false">
      <c r="A17" s="10" t="s">
        <v>68</v>
      </c>
      <c r="B17" s="10" t="s">
        <v>109</v>
      </c>
      <c r="C17" s="11" t="s">
        <v>110</v>
      </c>
      <c r="D17" s="10" t="s">
        <v>71</v>
      </c>
      <c r="E17" s="10" t="n">
        <f aca="false">LEN(D17)</f>
        <v>24</v>
      </c>
      <c r="F17" s="12" t="n">
        <f aca="false">(LEN(D17)-LEN(SUBSTITUTE(D17,"Virtualsphere","")))/LEN("Virtualsphere")</f>
        <v>1</v>
      </c>
      <c r="G17" s="12" t="str">
        <f aca="false">IF(E17&gt;60,"Too long",IF(E17&lt;30,"Too short","OK"))</f>
        <v>Too short</v>
      </c>
      <c r="H17" s="10" t="str">
        <f aca="false">IF(COUNTIF($D$2:$D$50,D17)&gt;1,"Duplicate","Unique")</f>
        <v>Duplicate</v>
      </c>
      <c r="I17" s="10" t="n">
        <f aca="false">COUNTIF(Issues!$E$2:$E$74,C17)</f>
        <v>1</v>
      </c>
      <c r="J17" s="10" t="n">
        <f aca="false">COUNTIFS(Issues!$E$2:$E$74,C17,Issues!$M$2:$M$74,"&lt;&gt;Fixed",Issues!$M$2:$M$74,"&lt;&gt;Verified")</f>
        <v>0</v>
      </c>
      <c r="K17" s="10" t="str">
        <f aca="false">IF(J17&gt;0,"Needs fix","OK")</f>
        <v>OK</v>
      </c>
    </row>
    <row r="18" customFormat="false" ht="15" hidden="false" customHeight="false" outlineLevel="0" collapsed="false">
      <c r="A18" s="10" t="s">
        <v>68</v>
      </c>
      <c r="B18" s="10" t="s">
        <v>114</v>
      </c>
      <c r="C18" s="11" t="s">
        <v>115</v>
      </c>
      <c r="D18" s="10" t="s">
        <v>71</v>
      </c>
      <c r="E18" s="10" t="n">
        <f aca="false">LEN(D18)</f>
        <v>24</v>
      </c>
      <c r="F18" s="12" t="n">
        <f aca="false">(LEN(D18)-LEN(SUBSTITUTE(D18,"Virtualsphere","")))/LEN("Virtualsphere")</f>
        <v>1</v>
      </c>
      <c r="G18" s="12" t="str">
        <f aca="false">IF(E18&gt;60,"Too long",IF(E18&lt;30,"Too short","OK"))</f>
        <v>Too short</v>
      </c>
      <c r="H18" s="10" t="str">
        <f aca="false">IF(COUNTIF($D$2:$D$50,D18)&gt;1,"Duplicate","Unique")</f>
        <v>Duplicate</v>
      </c>
      <c r="I18" s="10" t="n">
        <f aca="false">COUNTIF(Issues!$E$2:$E$74,C18)</f>
        <v>1</v>
      </c>
      <c r="J18" s="10" t="n">
        <f aca="false">COUNTIFS(Issues!$E$2:$E$74,C18,Issues!$M$2:$M$74,"&lt;&gt;Fixed",Issues!$M$2:$M$74,"&lt;&gt;Verified")</f>
        <v>0</v>
      </c>
      <c r="K18" s="10" t="str">
        <f aca="false">IF(J18&gt;0,"Needs fix","OK")</f>
        <v>OK</v>
      </c>
    </row>
    <row r="19" customFormat="false" ht="15" hidden="false" customHeight="false" outlineLevel="0" collapsed="false">
      <c r="A19" s="10" t="s">
        <v>68</v>
      </c>
      <c r="B19" s="10" t="s">
        <v>119</v>
      </c>
      <c r="C19" s="11" t="s">
        <v>120</v>
      </c>
      <c r="D19" s="10" t="s">
        <v>71</v>
      </c>
      <c r="E19" s="10" t="n">
        <f aca="false">LEN(D19)</f>
        <v>24</v>
      </c>
      <c r="F19" s="12" t="n">
        <f aca="false">(LEN(D19)-LEN(SUBSTITUTE(D19,"Virtualsphere","")))/LEN("Virtualsphere")</f>
        <v>1</v>
      </c>
      <c r="G19" s="12" t="str">
        <f aca="false">IF(E19&gt;60,"Too long",IF(E19&lt;30,"Too short","OK"))</f>
        <v>Too short</v>
      </c>
      <c r="H19" s="10" t="str">
        <f aca="false">IF(COUNTIF($D$2:$D$50,D19)&gt;1,"Duplicate","Unique")</f>
        <v>Duplicate</v>
      </c>
      <c r="I19" s="10" t="n">
        <f aca="false">COUNTIF(Issues!$E$2:$E$74,C19)</f>
        <v>1</v>
      </c>
      <c r="J19" s="10" t="n">
        <f aca="false">COUNTIFS(Issues!$E$2:$E$74,C19,Issues!$M$2:$M$74,"&lt;&gt;Fixed",Issues!$M$2:$M$74,"&lt;&gt;Verified")</f>
        <v>0</v>
      </c>
      <c r="K19" s="10" t="str">
        <f aca="false">IF(J19&gt;0,"Needs fix","OK")</f>
        <v>OK</v>
      </c>
    </row>
    <row r="20" customFormat="false" ht="15" hidden="false" customHeight="false" outlineLevel="0" collapsed="false">
      <c r="A20" s="10" t="s">
        <v>68</v>
      </c>
      <c r="B20" s="10" t="s">
        <v>124</v>
      </c>
      <c r="C20" s="11" t="s">
        <v>125</v>
      </c>
      <c r="D20" s="10" t="s">
        <v>71</v>
      </c>
      <c r="E20" s="10" t="n">
        <f aca="false">LEN(D20)</f>
        <v>24</v>
      </c>
      <c r="F20" s="12" t="n">
        <f aca="false">(LEN(D20)-LEN(SUBSTITUTE(D20,"Virtualsphere","")))/LEN("Virtualsphere")</f>
        <v>1</v>
      </c>
      <c r="G20" s="12" t="str">
        <f aca="false">IF(E20&gt;60,"Too long",IF(E20&lt;30,"Too short","OK"))</f>
        <v>Too short</v>
      </c>
      <c r="H20" s="10" t="str">
        <f aca="false">IF(COUNTIF($D$2:$D$50,D20)&gt;1,"Duplicate","Unique")</f>
        <v>Duplicate</v>
      </c>
      <c r="I20" s="10" t="n">
        <f aca="false">COUNTIF(Issues!$E$2:$E$74,C20)</f>
        <v>1</v>
      </c>
      <c r="J20" s="10" t="n">
        <f aca="false">COUNTIFS(Issues!$E$2:$E$74,C20,Issues!$M$2:$M$74,"&lt;&gt;Fixed",Issues!$M$2:$M$74,"&lt;&gt;Verified")</f>
        <v>0</v>
      </c>
      <c r="K20" s="10" t="str">
        <f aca="false">IF(J20&gt;0,"Needs fix","OK")</f>
        <v>OK</v>
      </c>
    </row>
    <row r="21" customFormat="false" ht="15" hidden="false" customHeight="false" outlineLevel="0" collapsed="false">
      <c r="A21" s="10" t="s">
        <v>68</v>
      </c>
      <c r="B21" s="10" t="s">
        <v>129</v>
      </c>
      <c r="C21" s="11" t="s">
        <v>130</v>
      </c>
      <c r="D21" s="10" t="s">
        <v>71</v>
      </c>
      <c r="E21" s="10" t="n">
        <f aca="false">LEN(D21)</f>
        <v>24</v>
      </c>
      <c r="F21" s="12" t="n">
        <f aca="false">(LEN(D21)-LEN(SUBSTITUTE(D21,"Virtualsphere","")))/LEN("Virtualsphere")</f>
        <v>1</v>
      </c>
      <c r="G21" s="12" t="str">
        <f aca="false">IF(E21&gt;60,"Too long",IF(E21&lt;30,"Too short","OK"))</f>
        <v>Too short</v>
      </c>
      <c r="H21" s="10" t="str">
        <f aca="false">IF(COUNTIF($D$2:$D$50,D21)&gt;1,"Duplicate","Unique")</f>
        <v>Duplicate</v>
      </c>
      <c r="I21" s="10" t="n">
        <f aca="false">COUNTIF(Issues!$E$2:$E$74,C21)</f>
        <v>1</v>
      </c>
      <c r="J21" s="10" t="n">
        <f aca="false">COUNTIFS(Issues!$E$2:$E$74,C21,Issues!$M$2:$M$74,"&lt;&gt;Fixed",Issues!$M$2:$M$74,"&lt;&gt;Verified")</f>
        <v>0</v>
      </c>
      <c r="K21" s="10" t="str">
        <f aca="false">IF(J21&gt;0,"Needs fix","OK")</f>
        <v>OK</v>
      </c>
    </row>
    <row r="22" customFormat="false" ht="15" hidden="false" customHeight="false" outlineLevel="0" collapsed="false">
      <c r="A22" s="10" t="s">
        <v>134</v>
      </c>
      <c r="B22" s="10" t="s">
        <v>135</v>
      </c>
      <c r="C22" s="11" t="s">
        <v>136</v>
      </c>
      <c r="D22" s="10" t="s">
        <v>137</v>
      </c>
      <c r="E22" s="10" t="n">
        <f aca="false">LEN(D22)</f>
        <v>55</v>
      </c>
      <c r="F22" s="12" t="n">
        <f aca="false">(LEN(D22)-LEN(SUBSTITUTE(D22,"Virtualsphere","")))/LEN("Virtualsphere")</f>
        <v>2</v>
      </c>
      <c r="G22" s="12" t="str">
        <f aca="false">IF(E22&gt;60,"Too long",IF(E22&lt;30,"Too short","OK"))</f>
        <v>OK</v>
      </c>
      <c r="H22" s="10" t="str">
        <f aca="false">IF(COUNTIF($D$2:$D$50,D22)&gt;1,"Duplicate","Unique")</f>
        <v>Unique</v>
      </c>
      <c r="I22" s="10" t="n">
        <f aca="false">COUNTIF(Issues!$E$2:$E$74,C22)</f>
        <v>1</v>
      </c>
      <c r="J22" s="10" t="n">
        <f aca="false">COUNTIFS(Issues!$E$2:$E$74,C22,Issues!$M$2:$M$74,"&lt;&gt;Fixed",Issues!$M$2:$M$74,"&lt;&gt;Verified")</f>
        <v>0</v>
      </c>
      <c r="K22" s="10" t="str">
        <f aca="false">IF(J22&gt;0,"Needs fix","OK")</f>
        <v>OK</v>
      </c>
    </row>
    <row r="23" customFormat="false" ht="15" hidden="false" customHeight="false" outlineLevel="0" collapsed="false">
      <c r="A23" s="10" t="s">
        <v>134</v>
      </c>
      <c r="B23" s="10" t="s">
        <v>142</v>
      </c>
      <c r="C23" s="11" t="s">
        <v>143</v>
      </c>
      <c r="D23" s="10" t="s">
        <v>144</v>
      </c>
      <c r="E23" s="10" t="n">
        <f aca="false">LEN(D23)</f>
        <v>38</v>
      </c>
      <c r="F23" s="12" t="n">
        <f aca="false">(LEN(D23)-LEN(SUBSTITUTE(D23,"Virtualsphere","")))/LEN("Virtualsphere")</f>
        <v>2</v>
      </c>
      <c r="G23" s="12" t="str">
        <f aca="false">IF(E23&gt;60,"Too long",IF(E23&lt;30,"Too short","OK"))</f>
        <v>OK</v>
      </c>
      <c r="H23" s="10" t="str">
        <f aca="false">IF(COUNTIF($D$2:$D$50,D23)&gt;1,"Duplicate","Unique")</f>
        <v>Unique</v>
      </c>
      <c r="I23" s="10" t="n">
        <f aca="false">COUNTIF(Issues!$E$2:$E$74,C23)</f>
        <v>2</v>
      </c>
      <c r="J23" s="10" t="n">
        <f aca="false">COUNTIFS(Issues!$E$2:$E$74,C23,Issues!$M$2:$M$74,"&lt;&gt;Fixed",Issues!$M$2:$M$74,"&lt;&gt;Verified")</f>
        <v>0</v>
      </c>
      <c r="K23" s="10" t="str">
        <f aca="false">IF(J23&gt;0,"Needs fix","OK")</f>
        <v>OK</v>
      </c>
    </row>
    <row r="24" customFormat="false" ht="15" hidden="false" customHeight="false" outlineLevel="0" collapsed="false">
      <c r="A24" s="10" t="s">
        <v>134</v>
      </c>
      <c r="B24" s="10" t="s">
        <v>147</v>
      </c>
      <c r="C24" s="11" t="s">
        <v>148</v>
      </c>
      <c r="D24" s="10" t="s">
        <v>149</v>
      </c>
      <c r="E24" s="10" t="n">
        <f aca="false">LEN(D24)</f>
        <v>54</v>
      </c>
      <c r="F24" s="12" t="n">
        <f aca="false">(LEN(D24)-LEN(SUBSTITUTE(D24,"Virtualsphere","")))/LEN("Virtualsphere")</f>
        <v>2</v>
      </c>
      <c r="G24" s="12" t="str">
        <f aca="false">IF(E24&gt;60,"Too long",IF(E24&lt;30,"Too short","OK"))</f>
        <v>OK</v>
      </c>
      <c r="H24" s="10" t="str">
        <f aca="false">IF(COUNTIF($D$2:$D$50,D24)&gt;1,"Duplicate","Unique")</f>
        <v>Unique</v>
      </c>
      <c r="I24" s="10" t="n">
        <f aca="false">COUNTIF(Issues!$E$2:$E$74,C24)</f>
        <v>2</v>
      </c>
      <c r="J24" s="10" t="n">
        <f aca="false">COUNTIFS(Issues!$E$2:$E$74,C24,Issues!$M$2:$M$74,"&lt;&gt;Fixed",Issues!$M$2:$M$74,"&lt;&gt;Verified")</f>
        <v>0</v>
      </c>
      <c r="K24" s="10" t="str">
        <f aca="false">IF(J24&gt;0,"Needs fix","OK")</f>
        <v>OK</v>
      </c>
    </row>
    <row r="25" customFormat="false" ht="15" hidden="false" customHeight="false" outlineLevel="0" collapsed="false">
      <c r="A25" s="10" t="s">
        <v>134</v>
      </c>
      <c r="B25" s="10" t="s">
        <v>152</v>
      </c>
      <c r="C25" s="11" t="s">
        <v>153</v>
      </c>
      <c r="D25" s="10" t="s">
        <v>154</v>
      </c>
      <c r="E25" s="10" t="n">
        <f aca="false">LEN(D25)</f>
        <v>35</v>
      </c>
      <c r="F25" s="12" t="n">
        <f aca="false">(LEN(D25)-LEN(SUBSTITUTE(D25,"Virtualsphere","")))/LEN("Virtualsphere")</f>
        <v>2</v>
      </c>
      <c r="G25" s="12" t="str">
        <f aca="false">IF(E25&gt;60,"Too long",IF(E25&lt;30,"Too short","OK"))</f>
        <v>OK</v>
      </c>
      <c r="H25" s="10" t="str">
        <f aca="false">IF(COUNTIF($D$2:$D$50,D25)&gt;1,"Duplicate","Unique")</f>
        <v>Unique</v>
      </c>
      <c r="I25" s="10" t="n">
        <f aca="false">COUNTIF(Issues!$E$2:$E$74,C25)</f>
        <v>2</v>
      </c>
      <c r="J25" s="10" t="n">
        <f aca="false">COUNTIFS(Issues!$E$2:$E$74,C25,Issues!$M$2:$M$74,"&lt;&gt;Fixed",Issues!$M$2:$M$74,"&lt;&gt;Verified")</f>
        <v>0</v>
      </c>
      <c r="K25" s="10" t="str">
        <f aca="false">IF(J25&gt;0,"Needs fix","OK")</f>
        <v>OK</v>
      </c>
    </row>
    <row r="26" customFormat="false" ht="15" hidden="false" customHeight="false" outlineLevel="0" collapsed="false">
      <c r="A26" s="10" t="s">
        <v>134</v>
      </c>
      <c r="B26" s="10" t="s">
        <v>157</v>
      </c>
      <c r="C26" s="11" t="s">
        <v>158</v>
      </c>
      <c r="D26" s="10" t="s">
        <v>159</v>
      </c>
      <c r="E26" s="10" t="n">
        <f aca="false">LEN(D26)</f>
        <v>36</v>
      </c>
      <c r="F26" s="12" t="n">
        <f aca="false">(LEN(D26)-LEN(SUBSTITUTE(D26,"Virtualsphere","")))/LEN("Virtualsphere")</f>
        <v>2</v>
      </c>
      <c r="G26" s="12" t="str">
        <f aca="false">IF(E26&gt;60,"Too long",IF(E26&lt;30,"Too short","OK"))</f>
        <v>OK</v>
      </c>
      <c r="H26" s="10" t="str">
        <f aca="false">IF(COUNTIF($D$2:$D$50,D26)&gt;1,"Duplicate","Unique")</f>
        <v>Unique</v>
      </c>
      <c r="I26" s="10" t="n">
        <f aca="false">COUNTIF(Issues!$E$2:$E$74,C26)</f>
        <v>2</v>
      </c>
      <c r="J26" s="10" t="n">
        <f aca="false">COUNTIFS(Issues!$E$2:$E$74,C26,Issues!$M$2:$M$74,"&lt;&gt;Fixed",Issues!$M$2:$M$74,"&lt;&gt;Verified")</f>
        <v>0</v>
      </c>
      <c r="K26" s="10" t="str">
        <f aca="false">IF(J26&gt;0,"Needs fix","OK")</f>
        <v>OK</v>
      </c>
    </row>
    <row r="27" customFormat="false" ht="15" hidden="false" customHeight="false" outlineLevel="0" collapsed="false">
      <c r="A27" s="10" t="s">
        <v>134</v>
      </c>
      <c r="B27" s="10" t="s">
        <v>382</v>
      </c>
      <c r="C27" s="11" t="s">
        <v>383</v>
      </c>
      <c r="D27" s="10" t="s">
        <v>397</v>
      </c>
      <c r="E27" s="10" t="n">
        <f aca="false">LEN(D27)</f>
        <v>57</v>
      </c>
      <c r="F27" s="12" t="n">
        <f aca="false">(LEN(D27)-LEN(SUBSTITUTE(D27,"Virtualsphere","")))/LEN("Virtualsphere")</f>
        <v>1</v>
      </c>
      <c r="G27" s="12" t="str">
        <f aca="false">IF(E27&gt;60,"Too long",IF(E27&lt;30,"Too short","OK"))</f>
        <v>OK</v>
      </c>
      <c r="H27" s="10" t="str">
        <f aca="false">IF(COUNTIF($D$2:$D$50,D27)&gt;1,"Duplicate","Unique")</f>
        <v>Unique</v>
      </c>
      <c r="I27" s="10" t="n">
        <f aca="false">COUNTIF(Issues!$E$2:$E$74,C27)</f>
        <v>1</v>
      </c>
      <c r="J27" s="10" t="n">
        <f aca="false">COUNTIFS(Issues!$E$2:$E$74,C27,Issues!$M$2:$M$74,"&lt;&gt;Fixed",Issues!$M$2:$M$74,"&lt;&gt;Verified")</f>
        <v>0</v>
      </c>
      <c r="K27" s="10" t="str">
        <f aca="false">IF(J27&gt;0,"Needs fix","OK")</f>
        <v>OK</v>
      </c>
    </row>
    <row r="28" customFormat="false" ht="15" hidden="false" customHeight="false" outlineLevel="0" collapsed="false">
      <c r="A28" s="10" t="s">
        <v>134</v>
      </c>
      <c r="B28" s="10" t="s">
        <v>162</v>
      </c>
      <c r="C28" s="11" t="s">
        <v>163</v>
      </c>
      <c r="D28" s="10" t="s">
        <v>164</v>
      </c>
      <c r="E28" s="10" t="n">
        <f aca="false">LEN(D28)</f>
        <v>69</v>
      </c>
      <c r="F28" s="12" t="n">
        <f aca="false">(LEN(D28)-LEN(SUBSTITUTE(D28,"Virtualsphere","")))/LEN("Virtualsphere")</f>
        <v>2</v>
      </c>
      <c r="G28" s="12" t="str">
        <f aca="false">IF(E28&gt;60,"Too long",IF(E28&lt;30,"Too short","OK"))</f>
        <v>Too long</v>
      </c>
      <c r="H28" s="10" t="str">
        <f aca="false">IF(COUNTIF($D$2:$D$50,D28)&gt;1,"Duplicate","Unique")</f>
        <v>Unique</v>
      </c>
      <c r="I28" s="10" t="n">
        <f aca="false">COUNTIF(Issues!$E$2:$E$74,C28)</f>
        <v>2</v>
      </c>
      <c r="J28" s="10" t="n">
        <f aca="false">COUNTIFS(Issues!$E$2:$E$74,C28,Issues!$M$2:$M$74,"&lt;&gt;Fixed",Issues!$M$2:$M$74,"&lt;&gt;Verified")</f>
        <v>0</v>
      </c>
      <c r="K28" s="10" t="str">
        <f aca="false">IF(J28&gt;0,"Needs fix","OK")</f>
        <v>OK</v>
      </c>
    </row>
    <row r="29" customFormat="false" ht="15" hidden="false" customHeight="false" outlineLevel="0" collapsed="false">
      <c r="A29" s="10" t="s">
        <v>134</v>
      </c>
      <c r="B29" s="10" t="s">
        <v>167</v>
      </c>
      <c r="C29" s="11" t="s">
        <v>168</v>
      </c>
      <c r="D29" s="10" t="s">
        <v>169</v>
      </c>
      <c r="E29" s="10" t="n">
        <f aca="false">LEN(D29)</f>
        <v>64</v>
      </c>
      <c r="F29" s="12" t="n">
        <f aca="false">(LEN(D29)-LEN(SUBSTITUTE(D29,"Virtualsphere","")))/LEN("Virtualsphere")</f>
        <v>2</v>
      </c>
      <c r="G29" s="12" t="str">
        <f aca="false">IF(E29&gt;60,"Too long",IF(E29&lt;30,"Too short","OK"))</f>
        <v>Too long</v>
      </c>
      <c r="H29" s="10" t="str">
        <f aca="false">IF(COUNTIF($D$2:$D$50,D29)&gt;1,"Duplicate","Unique")</f>
        <v>Unique</v>
      </c>
      <c r="I29" s="10" t="n">
        <f aca="false">COUNTIF(Issues!$E$2:$E$74,C29)</f>
        <v>2</v>
      </c>
      <c r="J29" s="10" t="n">
        <f aca="false">COUNTIFS(Issues!$E$2:$E$74,C29,Issues!$M$2:$M$74,"&lt;&gt;Fixed",Issues!$M$2:$M$74,"&lt;&gt;Verified")</f>
        <v>0</v>
      </c>
      <c r="K29" s="10" t="str">
        <f aca="false">IF(J29&gt;0,"Needs fix","OK")</f>
        <v>OK</v>
      </c>
    </row>
    <row r="30" customFormat="false" ht="15" hidden="false" customHeight="false" outlineLevel="0" collapsed="false">
      <c r="A30" s="10" t="s">
        <v>134</v>
      </c>
      <c r="B30" s="10" t="s">
        <v>319</v>
      </c>
      <c r="C30" s="11" t="s">
        <v>320</v>
      </c>
      <c r="D30" s="10" t="s">
        <v>321</v>
      </c>
      <c r="E30" s="10" t="n">
        <f aca="false">LEN(D30)</f>
        <v>70</v>
      </c>
      <c r="F30" s="12" t="n">
        <f aca="false">(LEN(D30)-LEN(SUBSTITUTE(D30,"Virtualsphere","")))/LEN("Virtualsphere")</f>
        <v>1</v>
      </c>
      <c r="G30" s="12" t="str">
        <f aca="false">IF(E30&gt;60,"Too long",IF(E30&lt;30,"Too short","OK"))</f>
        <v>Too long</v>
      </c>
      <c r="H30" s="10" t="str">
        <f aca="false">IF(COUNTIF($D$2:$D$50,D30)&gt;1,"Duplicate","Unique")</f>
        <v>Unique</v>
      </c>
      <c r="I30" s="10" t="n">
        <f aca="false">COUNTIF(Issues!$E$2:$E$74,C30)</f>
        <v>1</v>
      </c>
      <c r="J30" s="10" t="n">
        <f aca="false">COUNTIFS(Issues!$E$2:$E$74,C30,Issues!$M$2:$M$74,"&lt;&gt;Fixed",Issues!$M$2:$M$74,"&lt;&gt;Verified")</f>
        <v>0</v>
      </c>
      <c r="K30" s="10" t="str">
        <f aca="false">IF(J30&gt;0,"Needs fix","OK")</f>
        <v>OK</v>
      </c>
    </row>
    <row r="31" customFormat="false" ht="15" hidden="false" customHeight="false" outlineLevel="0" collapsed="false">
      <c r="A31" s="10" t="s">
        <v>134</v>
      </c>
      <c r="B31" s="10" t="s">
        <v>326</v>
      </c>
      <c r="C31" s="11" t="s">
        <v>327</v>
      </c>
      <c r="D31" s="10" t="s">
        <v>328</v>
      </c>
      <c r="E31" s="10" t="n">
        <f aca="false">LEN(D31)</f>
        <v>74</v>
      </c>
      <c r="F31" s="12" t="n">
        <f aca="false">(LEN(D31)-LEN(SUBSTITUTE(D31,"Virtualsphere","")))/LEN("Virtualsphere")</f>
        <v>1</v>
      </c>
      <c r="G31" s="12" t="str">
        <f aca="false">IF(E31&gt;60,"Too long",IF(E31&lt;30,"Too short","OK"))</f>
        <v>Too long</v>
      </c>
      <c r="H31" s="10" t="str">
        <f aca="false">IF(COUNTIF($D$2:$D$50,D31)&gt;1,"Duplicate","Unique")</f>
        <v>Unique</v>
      </c>
      <c r="I31" s="10" t="n">
        <f aca="false">COUNTIF(Issues!$E$2:$E$74,C31)</f>
        <v>2</v>
      </c>
      <c r="J31" s="10" t="n">
        <f aca="false">COUNTIFS(Issues!$E$2:$E$74,C31,Issues!$M$2:$M$74,"&lt;&gt;Fixed",Issues!$M$2:$M$74,"&lt;&gt;Verified")</f>
        <v>0</v>
      </c>
      <c r="K31" s="10" t="str">
        <f aca="false">IF(J31&gt;0,"Needs fix","OK")</f>
        <v>OK</v>
      </c>
    </row>
    <row r="32" customFormat="false" ht="15" hidden="false" customHeight="false" outlineLevel="0" collapsed="false">
      <c r="A32" s="10" t="s">
        <v>134</v>
      </c>
      <c r="B32" s="10" t="s">
        <v>260</v>
      </c>
      <c r="C32" s="11" t="s">
        <v>261</v>
      </c>
      <c r="D32" s="10" t="s">
        <v>370</v>
      </c>
      <c r="E32" s="10" t="n">
        <f aca="false">LEN(D32)</f>
        <v>43</v>
      </c>
      <c r="F32" s="12" t="n">
        <f aca="false">(LEN(D32)-LEN(SUBSTITUTE(D32,"Virtualsphere","")))/LEN("Virtualsphere")</f>
        <v>1</v>
      </c>
      <c r="G32" s="12" t="str">
        <f aca="false">IF(E32&gt;60,"Too long",IF(E32&lt;30,"Too short","OK"))</f>
        <v>OK</v>
      </c>
      <c r="H32" s="10" t="str">
        <f aca="false">IF(COUNTIF($D$2:$D$50,D32)&gt;1,"Duplicate","Unique")</f>
        <v>Unique</v>
      </c>
      <c r="I32" s="10" t="n">
        <f aca="false">COUNTIF(Issues!$E$2:$E$74,C32)</f>
        <v>2</v>
      </c>
      <c r="J32" s="10" t="n">
        <f aca="false">COUNTIFS(Issues!$E$2:$E$74,C32,Issues!$M$2:$M$74,"&lt;&gt;Fixed",Issues!$M$2:$M$74,"&lt;&gt;Verified")</f>
        <v>0</v>
      </c>
      <c r="K32" s="10" t="str">
        <f aca="false">IF(J32&gt;0,"Needs fix","OK")</f>
        <v>OK</v>
      </c>
    </row>
    <row r="33" customFormat="false" ht="15" hidden="false" customHeight="false" outlineLevel="0" collapsed="false">
      <c r="A33" s="10" t="s">
        <v>134</v>
      </c>
      <c r="B33" s="10" t="s">
        <v>206</v>
      </c>
      <c r="C33" s="11" t="s">
        <v>207</v>
      </c>
      <c r="D33" s="10" t="s">
        <v>208</v>
      </c>
      <c r="E33" s="10" t="n">
        <f aca="false">LEN(D33)</f>
        <v>75</v>
      </c>
      <c r="F33" s="12" t="n">
        <f aca="false">(LEN(D33)-LEN(SUBSTITUTE(D33,"Virtualsphere","")))/LEN("Virtualsphere")</f>
        <v>1</v>
      </c>
      <c r="G33" s="12" t="str">
        <f aca="false">IF(E33&gt;60,"Too long",IF(E33&lt;30,"Too short","OK"))</f>
        <v>Too long</v>
      </c>
      <c r="H33" s="10" t="str">
        <f aca="false">IF(COUNTIF($D$2:$D$50,D33)&gt;1,"Duplicate","Unique")</f>
        <v>Unique</v>
      </c>
      <c r="I33" s="10" t="n">
        <f aca="false">COUNTIF(Issues!$E$2:$E$74,C33)</f>
        <v>2</v>
      </c>
      <c r="J33" s="10" t="n">
        <f aca="false">COUNTIFS(Issues!$E$2:$E$74,C33,Issues!$M$2:$M$74,"&lt;&gt;Fixed",Issues!$M$2:$M$74,"&lt;&gt;Verified")</f>
        <v>0</v>
      </c>
      <c r="K33" s="10" t="str">
        <f aca="false">IF(J33&gt;0,"Needs fix","OK")</f>
        <v>OK</v>
      </c>
    </row>
    <row r="34" customFormat="false" ht="15" hidden="false" customHeight="false" outlineLevel="0" collapsed="false">
      <c r="A34" s="10" t="s">
        <v>134</v>
      </c>
      <c r="B34" s="10" t="s">
        <v>254</v>
      </c>
      <c r="C34" s="11" t="s">
        <v>255</v>
      </c>
      <c r="D34" s="10" t="s">
        <v>366</v>
      </c>
      <c r="E34" s="10" t="n">
        <f aca="false">LEN(D34)</f>
        <v>45</v>
      </c>
      <c r="F34" s="12" t="n">
        <f aca="false">(LEN(D34)-LEN(SUBSTITUTE(D34,"Virtualsphere","")))/LEN("Virtualsphere")</f>
        <v>1</v>
      </c>
      <c r="G34" s="12" t="str">
        <f aca="false">IF(E34&gt;60,"Too long",IF(E34&lt;30,"Too short","OK"))</f>
        <v>OK</v>
      </c>
      <c r="H34" s="10" t="str">
        <f aca="false">IF(COUNTIF($D$2:$D$50,D34)&gt;1,"Duplicate","Unique")</f>
        <v>Unique</v>
      </c>
      <c r="I34" s="10" t="n">
        <f aca="false">COUNTIF(Issues!$E$2:$E$74,C34)</f>
        <v>2</v>
      </c>
      <c r="J34" s="10" t="n">
        <f aca="false">COUNTIFS(Issues!$E$2:$E$74,C34,Issues!$M$2:$M$74,"&lt;&gt;Fixed",Issues!$M$2:$M$74,"&lt;&gt;Verified")</f>
        <v>0</v>
      </c>
      <c r="K34" s="10" t="str">
        <f aca="false">IF(J34&gt;0,"Needs fix","OK")</f>
        <v>OK</v>
      </c>
    </row>
    <row r="35" customFormat="false" ht="15" hidden="false" customHeight="false" outlineLevel="0" collapsed="false">
      <c r="A35" s="10" t="s">
        <v>134</v>
      </c>
      <c r="B35" s="10" t="s">
        <v>172</v>
      </c>
      <c r="C35" s="11" t="s">
        <v>173</v>
      </c>
      <c r="D35" s="10" t="s">
        <v>174</v>
      </c>
      <c r="E35" s="10" t="n">
        <f aca="false">LEN(D35)</f>
        <v>61</v>
      </c>
      <c r="F35" s="12" t="n">
        <f aca="false">(LEN(D35)-LEN(SUBSTITUTE(D35,"Virtualsphere","")))/LEN("Virtualsphere")</f>
        <v>2</v>
      </c>
      <c r="G35" s="12" t="str">
        <f aca="false">IF(E35&gt;60,"Too long",IF(E35&lt;30,"Too short","OK"))</f>
        <v>Too long</v>
      </c>
      <c r="H35" s="10" t="str">
        <f aca="false">IF(COUNTIF($D$2:$D$50,D35)&gt;1,"Duplicate","Unique")</f>
        <v>Unique</v>
      </c>
      <c r="I35" s="10" t="n">
        <f aca="false">COUNTIF(Issues!$E$2:$E$74,C35)</f>
        <v>2</v>
      </c>
      <c r="J35" s="10" t="n">
        <f aca="false">COUNTIFS(Issues!$E$2:$E$74,C35,Issues!$M$2:$M$74,"&lt;&gt;Fixed",Issues!$M$2:$M$74,"&lt;&gt;Verified")</f>
        <v>0</v>
      </c>
      <c r="K35" s="10" t="str">
        <f aca="false">IF(J35&gt;0,"Needs fix","OK")</f>
        <v>OK</v>
      </c>
    </row>
    <row r="36" customFormat="false" ht="15" hidden="false" customHeight="false" outlineLevel="0" collapsed="false">
      <c r="A36" s="10" t="s">
        <v>134</v>
      </c>
      <c r="B36" s="10" t="s">
        <v>331</v>
      </c>
      <c r="C36" s="11" t="s">
        <v>332</v>
      </c>
      <c r="D36" s="10" t="s">
        <v>333</v>
      </c>
      <c r="E36" s="10" t="n">
        <f aca="false">LEN(D36)</f>
        <v>71</v>
      </c>
      <c r="F36" s="12" t="n">
        <f aca="false">(LEN(D36)-LEN(SUBSTITUTE(D36,"Virtualsphere","")))/LEN("Virtualsphere")</f>
        <v>1</v>
      </c>
      <c r="G36" s="12" t="str">
        <f aca="false">IF(E36&gt;60,"Too long",IF(E36&lt;30,"Too short","OK"))</f>
        <v>Too long</v>
      </c>
      <c r="H36" s="10" t="str">
        <f aca="false">IF(COUNTIF($D$2:$D$50,D36)&gt;1,"Duplicate","Unique")</f>
        <v>Unique</v>
      </c>
      <c r="I36" s="10" t="n">
        <f aca="false">COUNTIF(Issues!$E$2:$E$74,C36)</f>
        <v>1</v>
      </c>
      <c r="J36" s="10" t="n">
        <f aca="false">COUNTIFS(Issues!$E$2:$E$74,C36,Issues!$M$2:$M$74,"&lt;&gt;Fixed",Issues!$M$2:$M$74,"&lt;&gt;Verified")</f>
        <v>0</v>
      </c>
      <c r="K36" s="10" t="str">
        <f aca="false">IF(J36&gt;0,"Needs fix","OK")</f>
        <v>OK</v>
      </c>
    </row>
    <row r="37" customFormat="false" ht="15" hidden="false" customHeight="false" outlineLevel="0" collapsed="false">
      <c r="A37" s="10" t="s">
        <v>134</v>
      </c>
      <c r="B37" s="10" t="s">
        <v>336</v>
      </c>
      <c r="C37" s="11" t="s">
        <v>337</v>
      </c>
      <c r="D37" s="10" t="s">
        <v>338</v>
      </c>
      <c r="E37" s="10" t="n">
        <f aca="false">LEN(D37)</f>
        <v>66</v>
      </c>
      <c r="F37" s="12" t="n">
        <f aca="false">(LEN(D37)-LEN(SUBSTITUTE(D37,"Virtualsphere","")))/LEN("Virtualsphere")</f>
        <v>1</v>
      </c>
      <c r="G37" s="12" t="str">
        <f aca="false">IF(E37&gt;60,"Too long",IF(E37&lt;30,"Too short","OK"))</f>
        <v>Too long</v>
      </c>
      <c r="H37" s="10" t="str">
        <f aca="false">IF(COUNTIF($D$2:$D$50,D37)&gt;1,"Duplicate","Unique")</f>
        <v>Unique</v>
      </c>
      <c r="I37" s="10" t="n">
        <f aca="false">COUNTIF(Issues!$E$2:$E$74,C37)</f>
        <v>1</v>
      </c>
      <c r="J37" s="10" t="n">
        <f aca="false">COUNTIFS(Issues!$E$2:$E$74,C37,Issues!$M$2:$M$74,"&lt;&gt;Fixed",Issues!$M$2:$M$74,"&lt;&gt;Verified")</f>
        <v>0</v>
      </c>
      <c r="K37" s="10" t="str">
        <f aca="false">IF(J37&gt;0,"Needs fix","OK")</f>
        <v>OK</v>
      </c>
    </row>
    <row r="38" customFormat="false" ht="15" hidden="false" customHeight="false" outlineLevel="0" collapsed="false">
      <c r="A38" s="10" t="s">
        <v>134</v>
      </c>
      <c r="B38" s="10" t="s">
        <v>250</v>
      </c>
      <c r="C38" s="11" t="s">
        <v>251</v>
      </c>
      <c r="D38" s="10" t="s">
        <v>398</v>
      </c>
      <c r="E38" s="10" t="n">
        <f aca="false">LEN(D38)</f>
        <v>59</v>
      </c>
      <c r="F38" s="12" t="n">
        <f aca="false">(LEN(D38)-LEN(SUBSTITUTE(D38,"Virtualsphere","")))/LEN("Virtualsphere")</f>
        <v>1</v>
      </c>
      <c r="G38" s="12" t="str">
        <f aca="false">IF(E38&gt;60,"Too long",IF(E38&lt;30,"Too short","OK"))</f>
        <v>OK</v>
      </c>
      <c r="H38" s="10" t="str">
        <f aca="false">IF(COUNTIF($D$2:$D$50,D38)&gt;1,"Duplicate","Unique")</f>
        <v>Unique</v>
      </c>
      <c r="I38" s="10" t="n">
        <f aca="false">COUNTIF(Issues!$E$2:$E$74,C38)</f>
        <v>1</v>
      </c>
      <c r="J38" s="10" t="n">
        <f aca="false">COUNTIFS(Issues!$E$2:$E$74,C38,Issues!$M$2:$M$74,"&lt;&gt;Fixed",Issues!$M$2:$M$74,"&lt;&gt;Verified")</f>
        <v>0</v>
      </c>
      <c r="K38" s="10" t="str">
        <f aca="false">IF(J38&gt;0,"Needs fix","OK")</f>
        <v>OK</v>
      </c>
    </row>
    <row r="39" customFormat="false" ht="15" hidden="false" customHeight="false" outlineLevel="0" collapsed="false">
      <c r="A39" s="10" t="s">
        <v>134</v>
      </c>
      <c r="B39" s="10" t="s">
        <v>177</v>
      </c>
      <c r="C39" s="11" t="s">
        <v>178</v>
      </c>
      <c r="D39" s="10" t="s">
        <v>179</v>
      </c>
      <c r="E39" s="10" t="n">
        <f aca="false">LEN(D39)</f>
        <v>69</v>
      </c>
      <c r="F39" s="12" t="n">
        <f aca="false">(LEN(D39)-LEN(SUBSTITUTE(D39,"Virtualsphere","")))/LEN("Virtualsphere")</f>
        <v>2</v>
      </c>
      <c r="G39" s="12" t="str">
        <f aca="false">IF(E39&gt;60,"Too long",IF(E39&lt;30,"Too short","OK"))</f>
        <v>Too long</v>
      </c>
      <c r="H39" s="10" t="str">
        <f aca="false">IF(COUNTIF($D$2:$D$50,D39)&gt;1,"Duplicate","Unique")</f>
        <v>Unique</v>
      </c>
      <c r="I39" s="10" t="n">
        <f aca="false">COUNTIF(Issues!$E$2:$E$74,C39)</f>
        <v>1</v>
      </c>
      <c r="J39" s="10" t="n">
        <f aca="false">COUNTIFS(Issues!$E$2:$E$74,C39,Issues!$M$2:$M$74,"&lt;&gt;Fixed",Issues!$M$2:$M$74,"&lt;&gt;Verified")</f>
        <v>0</v>
      </c>
      <c r="K39" s="10" t="str">
        <f aca="false">IF(J39&gt;0,"Needs fix","OK")</f>
        <v>OK</v>
      </c>
    </row>
    <row r="40" customFormat="false" ht="15" hidden="false" customHeight="false" outlineLevel="0" collapsed="false">
      <c r="A40" s="10" t="s">
        <v>134</v>
      </c>
      <c r="B40" s="10" t="s">
        <v>341</v>
      </c>
      <c r="C40" s="11" t="s">
        <v>342</v>
      </c>
      <c r="D40" s="10" t="s">
        <v>343</v>
      </c>
      <c r="E40" s="10" t="n">
        <f aca="false">LEN(D40)</f>
        <v>65</v>
      </c>
      <c r="F40" s="12" t="n">
        <f aca="false">(LEN(D40)-LEN(SUBSTITUTE(D40,"Virtualsphere","")))/LEN("Virtualsphere")</f>
        <v>1</v>
      </c>
      <c r="G40" s="12" t="str">
        <f aca="false">IF(E40&gt;60,"Too long",IF(E40&lt;30,"Too short","OK"))</f>
        <v>Too long</v>
      </c>
      <c r="H40" s="10" t="str">
        <f aca="false">IF(COUNTIF($D$2:$D$50,D40)&gt;1,"Duplicate","Unique")</f>
        <v>Unique</v>
      </c>
      <c r="I40" s="10" t="n">
        <f aca="false">COUNTIF(Issues!$E$2:$E$74,C40)</f>
        <v>1</v>
      </c>
      <c r="J40" s="10" t="n">
        <f aca="false">COUNTIFS(Issues!$E$2:$E$74,C40,Issues!$M$2:$M$74,"&lt;&gt;Fixed",Issues!$M$2:$M$74,"&lt;&gt;Verified")</f>
        <v>0</v>
      </c>
      <c r="K40" s="10" t="str">
        <f aca="false">IF(J40&gt;0,"Needs fix","OK")</f>
        <v>OK</v>
      </c>
    </row>
    <row r="41" customFormat="false" ht="15" hidden="false" customHeight="false" outlineLevel="0" collapsed="false">
      <c r="A41" s="10" t="s">
        <v>134</v>
      </c>
      <c r="B41" s="10" t="s">
        <v>275</v>
      </c>
      <c r="C41" s="11" t="s">
        <v>276</v>
      </c>
      <c r="D41" s="10" t="s">
        <v>362</v>
      </c>
      <c r="E41" s="10" t="n">
        <f aca="false">LEN(D41)</f>
        <v>46</v>
      </c>
      <c r="F41" s="12" t="n">
        <f aca="false">(LEN(D41)-LEN(SUBSTITUTE(D41,"Virtualsphere","")))/LEN("Virtualsphere")</f>
        <v>1</v>
      </c>
      <c r="G41" s="12" t="str">
        <f aca="false">IF(E41&gt;60,"Too long",IF(E41&lt;30,"Too short","OK"))</f>
        <v>OK</v>
      </c>
      <c r="H41" s="10" t="str">
        <f aca="false">IF(COUNTIF($D$2:$D$50,D41)&gt;1,"Duplicate","Unique")</f>
        <v>Unique</v>
      </c>
      <c r="I41" s="10" t="n">
        <f aca="false">COUNTIF(Issues!$E$2:$E$74,C41)</f>
        <v>2</v>
      </c>
      <c r="J41" s="10" t="n">
        <f aca="false">COUNTIFS(Issues!$E$2:$E$74,C41,Issues!$M$2:$M$74,"&lt;&gt;Fixed",Issues!$M$2:$M$74,"&lt;&gt;Verified")</f>
        <v>0</v>
      </c>
      <c r="K41" s="10" t="str">
        <f aca="false">IF(J41&gt;0,"Needs fix","OK")</f>
        <v>OK</v>
      </c>
    </row>
    <row r="42" customFormat="false" ht="15" hidden="false" customHeight="false" outlineLevel="0" collapsed="false">
      <c r="A42" s="10" t="s">
        <v>134</v>
      </c>
      <c r="B42" s="10" t="s">
        <v>182</v>
      </c>
      <c r="C42" s="11" t="s">
        <v>183</v>
      </c>
      <c r="D42" s="10" t="s">
        <v>184</v>
      </c>
      <c r="E42" s="10" t="n">
        <f aca="false">LEN(D42)</f>
        <v>71</v>
      </c>
      <c r="F42" s="12" t="n">
        <f aca="false">(LEN(D42)-LEN(SUBSTITUTE(D42,"Virtualsphere","")))/LEN("Virtualsphere")</f>
        <v>2</v>
      </c>
      <c r="G42" s="12" t="str">
        <f aca="false">IF(E42&gt;60,"Too long",IF(E42&lt;30,"Too short","OK"))</f>
        <v>Too long</v>
      </c>
      <c r="H42" s="10" t="str">
        <f aca="false">IF(COUNTIF($D$2:$D$50,D42)&gt;1,"Duplicate","Unique")</f>
        <v>Unique</v>
      </c>
      <c r="I42" s="10" t="n">
        <f aca="false">COUNTIF(Issues!$E$2:$E$74,C42)</f>
        <v>1</v>
      </c>
      <c r="J42" s="10" t="n">
        <f aca="false">COUNTIFS(Issues!$E$2:$E$74,C42,Issues!$M$2:$M$74,"&lt;&gt;Fixed",Issues!$M$2:$M$74,"&lt;&gt;Verified")</f>
        <v>0</v>
      </c>
      <c r="K42" s="10" t="str">
        <f aca="false">IF(J42&gt;0,"Needs fix","OK")</f>
        <v>OK</v>
      </c>
    </row>
    <row r="43" customFormat="false" ht="15" hidden="false" customHeight="false" outlineLevel="0" collapsed="false">
      <c r="A43" s="10" t="s">
        <v>134</v>
      </c>
      <c r="B43" s="10" t="s">
        <v>346</v>
      </c>
      <c r="C43" s="11" t="s">
        <v>347</v>
      </c>
      <c r="D43" s="10" t="s">
        <v>348</v>
      </c>
      <c r="E43" s="10" t="n">
        <f aca="false">LEN(D43)</f>
        <v>73</v>
      </c>
      <c r="F43" s="12" t="n">
        <f aca="false">(LEN(D43)-LEN(SUBSTITUTE(D43,"Virtualsphere","")))/LEN("Virtualsphere")</f>
        <v>1</v>
      </c>
      <c r="G43" s="12" t="str">
        <f aca="false">IF(E43&gt;60,"Too long",IF(E43&lt;30,"Too short","OK"))</f>
        <v>Too long</v>
      </c>
      <c r="H43" s="10" t="str">
        <f aca="false">IF(COUNTIF($D$2:$D$50,D43)&gt;1,"Duplicate","Unique")</f>
        <v>Unique</v>
      </c>
      <c r="I43" s="10" t="n">
        <f aca="false">COUNTIF(Issues!$E$2:$E$74,C43)</f>
        <v>1</v>
      </c>
      <c r="J43" s="10" t="n">
        <f aca="false">COUNTIFS(Issues!$E$2:$E$74,C43,Issues!$M$2:$M$74,"&lt;&gt;Fixed",Issues!$M$2:$M$74,"&lt;&gt;Verified")</f>
        <v>0</v>
      </c>
      <c r="K43" s="10" t="str">
        <f aca="false">IF(J43&gt;0,"Needs fix","OK")</f>
        <v>OK</v>
      </c>
    </row>
    <row r="44" customFormat="false" ht="15" hidden="false" customHeight="false" outlineLevel="0" collapsed="false">
      <c r="A44" s="10" t="s">
        <v>134</v>
      </c>
      <c r="B44" s="10" t="s">
        <v>187</v>
      </c>
      <c r="C44" s="11" t="s">
        <v>188</v>
      </c>
      <c r="D44" s="10" t="s">
        <v>189</v>
      </c>
      <c r="E44" s="10" t="n">
        <f aca="false">LEN(D44)</f>
        <v>77</v>
      </c>
      <c r="F44" s="12" t="n">
        <f aca="false">(LEN(D44)-LEN(SUBSTITUTE(D44,"Virtualsphere","")))/LEN("Virtualsphere")</f>
        <v>2</v>
      </c>
      <c r="G44" s="12" t="str">
        <f aca="false">IF(E44&gt;60,"Too long",IF(E44&lt;30,"Too short","OK"))</f>
        <v>Too long</v>
      </c>
      <c r="H44" s="10" t="str">
        <f aca="false">IF(COUNTIF($D$2:$D$50,D44)&gt;1,"Duplicate","Unique")</f>
        <v>Unique</v>
      </c>
      <c r="I44" s="10" t="n">
        <f aca="false">COUNTIF(Issues!$E$2:$E$74,C44)</f>
        <v>2</v>
      </c>
      <c r="J44" s="10" t="n">
        <f aca="false">COUNTIFS(Issues!$E$2:$E$74,C44,Issues!$M$2:$M$74,"&lt;&gt;Fixed",Issues!$M$2:$M$74,"&lt;&gt;Verified")</f>
        <v>0</v>
      </c>
      <c r="K44" s="10" t="str">
        <f aca="false">IF(J44&gt;0,"Needs fix","OK")</f>
        <v>OK</v>
      </c>
    </row>
    <row r="45" customFormat="false" ht="15" hidden="false" customHeight="false" outlineLevel="0" collapsed="false">
      <c r="A45" s="10" t="s">
        <v>134</v>
      </c>
      <c r="B45" s="10" t="s">
        <v>265</v>
      </c>
      <c r="C45" s="11" t="s">
        <v>266</v>
      </c>
      <c r="D45" s="10" t="s">
        <v>374</v>
      </c>
      <c r="E45" s="10" t="n">
        <f aca="false">LEN(D45)</f>
        <v>44</v>
      </c>
      <c r="F45" s="12" t="n">
        <f aca="false">(LEN(D45)-LEN(SUBSTITUTE(D45,"Virtualsphere","")))/LEN("Virtualsphere")</f>
        <v>1</v>
      </c>
      <c r="G45" s="12" t="str">
        <f aca="false">IF(E45&gt;60,"Too long",IF(E45&lt;30,"Too short","OK"))</f>
        <v>OK</v>
      </c>
      <c r="H45" s="10" t="str">
        <f aca="false">IF(COUNTIF($D$2:$D$50,D45)&gt;1,"Duplicate","Unique")</f>
        <v>Unique</v>
      </c>
      <c r="I45" s="10" t="n">
        <f aca="false">COUNTIF(Issues!$E$2:$E$74,C45)</f>
        <v>2</v>
      </c>
      <c r="J45" s="10" t="n">
        <f aca="false">COUNTIFS(Issues!$E$2:$E$74,C45,Issues!$M$2:$M$74,"&lt;&gt;Fixed",Issues!$M$2:$M$74,"&lt;&gt;Verified")</f>
        <v>0</v>
      </c>
      <c r="K45" s="10" t="str">
        <f aca="false">IF(J45&gt;0,"Needs fix","OK")</f>
        <v>OK</v>
      </c>
    </row>
    <row r="46" customFormat="false" ht="15" hidden="false" customHeight="false" outlineLevel="0" collapsed="false">
      <c r="A46" s="10" t="s">
        <v>134</v>
      </c>
      <c r="B46" s="10" t="s">
        <v>270</v>
      </c>
      <c r="C46" s="11" t="s">
        <v>271</v>
      </c>
      <c r="D46" s="10" t="s">
        <v>378</v>
      </c>
      <c r="E46" s="10" t="n">
        <f aca="false">LEN(D46)</f>
        <v>48</v>
      </c>
      <c r="F46" s="12" t="n">
        <f aca="false">(LEN(D46)-LEN(SUBSTITUTE(D46,"Virtualsphere","")))/LEN("Virtualsphere")</f>
        <v>1</v>
      </c>
      <c r="G46" s="12" t="str">
        <f aca="false">IF(E46&gt;60,"Too long",IF(E46&lt;30,"Too short","OK"))</f>
        <v>OK</v>
      </c>
      <c r="H46" s="10" t="str">
        <f aca="false">IF(COUNTIF($D$2:$D$50,D46)&gt;1,"Duplicate","Unique")</f>
        <v>Unique</v>
      </c>
      <c r="I46" s="10" t="n">
        <f aca="false">COUNTIF(Issues!$E$2:$E$74,C46)</f>
        <v>2</v>
      </c>
      <c r="J46" s="10" t="n">
        <f aca="false">COUNTIFS(Issues!$E$2:$E$74,C46,Issues!$M$2:$M$74,"&lt;&gt;Fixed",Issues!$M$2:$M$74,"&lt;&gt;Verified")</f>
        <v>0</v>
      </c>
      <c r="K46" s="10" t="str">
        <f aca="false">IF(J46&gt;0,"Needs fix","OK")</f>
        <v>OK</v>
      </c>
    </row>
    <row r="47" customFormat="false" ht="15" hidden="false" customHeight="false" outlineLevel="0" collapsed="false">
      <c r="A47" s="10" t="s">
        <v>134</v>
      </c>
      <c r="B47" s="10" t="s">
        <v>192</v>
      </c>
      <c r="C47" s="11" t="s">
        <v>193</v>
      </c>
      <c r="D47" s="10" t="s">
        <v>194</v>
      </c>
      <c r="E47" s="10" t="n">
        <f aca="false">LEN(D47)</f>
        <v>82</v>
      </c>
      <c r="F47" s="12" t="n">
        <f aca="false">(LEN(D47)-LEN(SUBSTITUTE(D47,"Virtualsphere","")))/LEN("Virtualsphere")</f>
        <v>2</v>
      </c>
      <c r="G47" s="12" t="str">
        <f aca="false">IF(E47&gt;60,"Too long",IF(E47&lt;30,"Too short","OK"))</f>
        <v>Too long</v>
      </c>
      <c r="H47" s="10" t="str">
        <f aca="false">IF(COUNTIF($D$2:$D$50,D47)&gt;1,"Duplicate","Unique")</f>
        <v>Unique</v>
      </c>
      <c r="I47" s="10" t="n">
        <f aca="false">COUNTIF(Issues!$E$2:$E$74,C47)</f>
        <v>2</v>
      </c>
      <c r="J47" s="10" t="n">
        <f aca="false">COUNTIFS(Issues!$E$2:$E$74,C47,Issues!$M$2:$M$74,"&lt;&gt;Fixed",Issues!$M$2:$M$74,"&lt;&gt;Verified")</f>
        <v>0</v>
      </c>
      <c r="K47" s="10" t="str">
        <f aca="false">IF(J47&gt;0,"Needs fix","OK")</f>
        <v>OK</v>
      </c>
    </row>
    <row r="48" customFormat="false" ht="15" hidden="false" customHeight="false" outlineLevel="0" collapsed="false">
      <c r="A48" s="10" t="s">
        <v>134</v>
      </c>
      <c r="B48" s="10" t="s">
        <v>351</v>
      </c>
      <c r="C48" s="11" t="s">
        <v>352</v>
      </c>
      <c r="D48" s="10" t="s">
        <v>353</v>
      </c>
      <c r="E48" s="10" t="n">
        <f aca="false">LEN(D48)</f>
        <v>68</v>
      </c>
      <c r="F48" s="12" t="n">
        <f aca="false">(LEN(D48)-LEN(SUBSTITUTE(D48,"Virtualsphere","")))/LEN("Virtualsphere")</f>
        <v>1</v>
      </c>
      <c r="G48" s="12" t="str">
        <f aca="false">IF(E48&gt;60,"Too long",IF(E48&lt;30,"Too short","OK"))</f>
        <v>Too long</v>
      </c>
      <c r="H48" s="10" t="str">
        <f aca="false">IF(COUNTIF($D$2:$D$50,D48)&gt;1,"Duplicate","Unique")</f>
        <v>Unique</v>
      </c>
      <c r="I48" s="10" t="n">
        <f aca="false">COUNTIF(Issues!$E$2:$E$74,C48)</f>
        <v>1</v>
      </c>
      <c r="J48" s="10" t="n">
        <f aca="false">COUNTIFS(Issues!$E$2:$E$74,C48,Issues!$M$2:$M$74,"&lt;&gt;Fixed",Issues!$M$2:$M$74,"&lt;&gt;Verified")</f>
        <v>0</v>
      </c>
      <c r="K48" s="10" t="str">
        <f aca="false">IF(J48&gt;0,"Needs fix","OK")</f>
        <v>OK</v>
      </c>
    </row>
    <row r="49" customFormat="false" ht="15" hidden="false" customHeight="false" outlineLevel="0" collapsed="false">
      <c r="A49" s="10" t="s">
        <v>134</v>
      </c>
      <c r="B49" s="10" t="s">
        <v>399</v>
      </c>
      <c r="C49" s="11" t="s">
        <v>400</v>
      </c>
      <c r="D49" s="10" t="s">
        <v>401</v>
      </c>
      <c r="E49" s="10" t="n">
        <f aca="false">LEN(D49)</f>
        <v>48</v>
      </c>
      <c r="F49" s="12" t="n">
        <f aca="false">(LEN(D49)-LEN(SUBSTITUTE(D49,"Virtualsphere","")))/LEN("Virtualsphere")</f>
        <v>1</v>
      </c>
      <c r="G49" s="12" t="str">
        <f aca="false">IF(E49&gt;60,"Too long",IF(E49&lt;30,"Too short","OK"))</f>
        <v>OK</v>
      </c>
      <c r="H49" s="10" t="str">
        <f aca="false">IF(COUNTIF($D$2:$D$50,D49)&gt;1,"Duplicate","Unique")</f>
        <v>Unique</v>
      </c>
      <c r="I49" s="10" t="n">
        <f aca="false">COUNTIF(Issues!$E$2:$E$74,C49)</f>
        <v>0</v>
      </c>
      <c r="J49" s="10" t="n">
        <f aca="false">COUNTIFS(Issues!$E$2:$E$74,C49,Issues!$M$2:$M$74,"&lt;&gt;Fixed",Issues!$M$2:$M$74,"&lt;&gt;Verified")</f>
        <v>0</v>
      </c>
      <c r="K49" s="10" t="str">
        <f aca="false">IF(J49&gt;0,"Needs fix","OK")</f>
        <v>OK</v>
      </c>
    </row>
    <row r="50" customFormat="false" ht="15" hidden="false" customHeight="false" outlineLevel="0" collapsed="false">
      <c r="A50" s="10" t="s">
        <v>134</v>
      </c>
      <c r="B50" s="10" t="s">
        <v>356</v>
      </c>
      <c r="C50" s="11" t="s">
        <v>357</v>
      </c>
      <c r="D50" s="10" t="s">
        <v>358</v>
      </c>
      <c r="E50" s="10" t="n">
        <f aca="false">LEN(D50)</f>
        <v>69</v>
      </c>
      <c r="F50" s="12" t="n">
        <f aca="false">(LEN(D50)-LEN(SUBSTITUTE(D50,"Virtualsphere","")))/LEN("Virtualsphere")</f>
        <v>1</v>
      </c>
      <c r="G50" s="12" t="str">
        <f aca="false">IF(E50&gt;60,"Too long",IF(E50&lt;30,"Too short","OK"))</f>
        <v>Too long</v>
      </c>
      <c r="H50" s="10" t="str">
        <f aca="false">IF(COUNTIF($D$2:$D$50,D50)&gt;1,"Duplicate","Unique")</f>
        <v>Unique</v>
      </c>
      <c r="I50" s="10" t="n">
        <f aca="false">COUNTIF(Issues!$E$2:$E$74,C50)</f>
        <v>1</v>
      </c>
      <c r="J50" s="10" t="n">
        <f aca="false">COUNTIFS(Issues!$E$2:$E$74,C50,Issues!$M$2:$M$74,"&lt;&gt;Fixed",Issues!$M$2:$M$74,"&lt;&gt;Verified")</f>
        <v>0</v>
      </c>
      <c r="K50" s="10" t="str">
        <f aca="false">IF(J50&gt;0,"Needs fix","OK")</f>
        <v>OK</v>
      </c>
    </row>
  </sheetData>
  <autoFilter ref="A1:K50"/>
  <conditionalFormatting sqref="K2:K50">
    <cfRule type="cellIs" priority="2" operator="equal" aboveAverage="0" equalAverage="0" bottom="0" percent="0" rank="0" text="" dxfId="8">
      <formula>"Needs fix"</formula>
    </cfRule>
    <cfRule type="cellIs" priority="3" operator="equal" aboveAverage="0" equalAverage="0" bottom="0" percent="0" rank="0" text="" dxfId="10">
      <formula>"OK"</formula>
    </cfRule>
  </conditionalFormatting>
  <conditionalFormatting sqref="G2:G50">
    <cfRule type="cellIs" priority="4" operator="equal" aboveAverage="0" equalAverage="0" bottom="0" percent="0" rank="0" text="" dxfId="9">
      <formula>"Too long"</formula>
    </cfRule>
  </conditionalFormatting>
  <conditionalFormatting sqref="H2:H50">
    <cfRule type="cellIs" priority="5" operator="equal" aboveAverage="0" equalAverage="0" bottom="0" percent="0" rank="0" text="" dxfId="8">
      <formula>"Duplicate"</formula>
    </cfRule>
  </conditionalFormatting>
  <conditionalFormatting sqref="F2:F50">
    <cfRule type="cellIs" priority="6" operator="greaterThan" aboveAverage="0" equalAverage="0" bottom="0" percent="0" rank="0" text="" dxfId="8">
      <formula>1</formula>
    </cfRule>
  </conditionalFormatting>
  <hyperlinks>
    <hyperlink ref="C2" r:id="rId1" display="https://indiarfidshop.com/"/>
    <hyperlink ref="C3" r:id="rId2" display="https://indiarfidshop.com/products"/>
    <hyperlink ref="C4" r:id="rId3" display="https://indiarfidshop.com/categories"/>
    <hyperlink ref="C5" r:id="rId4" display="https://indiarfidshop.com/about"/>
    <hyperlink ref="C6" r:id="rId5" display="https://indiarfidshop.com/contact"/>
    <hyperlink ref="C7" r:id="rId6" display="https://indiarfidshop.com/privacy"/>
    <hyperlink ref="C8" r:id="rId7" display="https://indiarfidshop.com/terms"/>
    <hyperlink ref="C9" r:id="rId8" display="https://indiarfidshop.com/products?category=barcode-printers"/>
    <hyperlink ref="C10" r:id="rId9" display="https://indiarfidshop.com/products?category=integrated-reader"/>
    <hyperlink ref="C11" r:id="rId10" display="https://indiarfidshop.com/products?category=four-port-reader"/>
    <hyperlink ref="C12" r:id="rId11" display="https://indiarfidshop.com/products?category=raid-tags"/>
    <hyperlink ref="C13" r:id="rId12" display="https://indiarfidshop.com/products?category=Rfid-uhf-label-tags"/>
    <hyperlink ref="C14" r:id="rId13" display="https://indiarfidshop.com/products?category=rfid-laundary-tags"/>
    <hyperlink ref="C15" r:id="rId14" display="https://indiarfidshop.com/products?category=rfid-uhf-inlay"/>
    <hyperlink ref="C16" r:id="rId15" display="https://indiarfidshop.com/products?category=uhf-rfid-tags"/>
    <hyperlink ref="C17" r:id="rId16" display="https://indiarfidshop.com/products?category=rfid-uhf-antenna"/>
    <hyperlink ref="C18" r:id="rId17" display="https://indiarfidshop.com/products?category=handheld-reader"/>
    <hyperlink ref="C19" r:id="rId18" display="https://indiarfidshop.com/products?category=uhf-desktop-reader"/>
    <hyperlink ref="C20" r:id="rId19" display="https://indiarfidshop.com/products?category=hf-rfid-desktop-reader"/>
    <hyperlink ref="C21" r:id="rId20" display="https://indiarfidshop.com/products?category=rfid-lf-and-hf-pendrive-reader"/>
    <hyperlink ref="C22" r:id="rId21" display="https://indiarfidshop.com/products/desktop-barcode-printer"/>
    <hyperlink ref="C23" r:id="rId22" display="https://indiarfidshop.com/products/hrd-13"/>
    <hyperlink ref="C24" r:id="rId23" display="https://indiarfidshop.com/products/lrp-70-pendrive-reader"/>
    <hyperlink ref="C25" r:id="rId24" display="https://indiarfidshop.com/products/ua9"/>
    <hyperlink ref="C26" r:id="rId25" display="https://indiarfidshop.com/products/uca3"/>
    <hyperlink ref="C27" r:id="rId26" display="https://indiarfidshop.com/products/udr-w105-uhf-rfid-desktop-reader-writer"/>
    <hyperlink ref="C28" r:id="rId27" display="https://indiarfidshop.com/products/udr-w101-uhf-rfid-desktop-reader-writer"/>
    <hyperlink ref="C29" r:id="rId28" display="https://indiarfidshop.com/products/udt9r-rfid-jewellery-tray-reader"/>
    <hyperlink ref="C30" r:id="rId29" display="https://indiarfidshop.com/products/RFID-Cable-Tie-uhf-Tags"/>
    <hyperlink ref="C31" r:id="rId30" display="https://indiarfidshop.com/products/RFID-silicon-tags-UHF-laundary-tags"/>
    <hyperlink ref="C32" r:id="rId31" display="https://indiarfidshop.com/products/udm9r-Integrated-reader"/>
    <hyperlink ref="C33" r:id="rId32" display="https://indiarfidshop.com/products/udr-102"/>
    <hyperlink ref="C34" r:id="rId33" display="https://indiarfidshop.com/products/uhr-72"/>
    <hyperlink ref="C35" r:id="rId34" display="https://indiarfidshop.com/products/uhr2-uhf-rfid-handheld-reader"/>
    <hyperlink ref="C36" r:id="rId35" display="https://indiarfidshop.com/products/RFID-Ferric-100-Metal-UHF-Tags"/>
    <hyperlink ref="C37" r:id="rId36" display="https://indiarfidshop.com/products/vsl-a1"/>
    <hyperlink ref="C38" r:id="rId37" display="https://indiarfidshop.com/products/vsl-f2-uhf-rfid-4-port-reader"/>
    <hyperlink ref="C39" r:id="rId38" display="https://indiarfidshop.com/products/vst-9662-rfid-uhf-inlay-higgs-3"/>
    <hyperlink ref="C40" r:id="rId39" display="https://indiarfidshop.com/products/vst-9662-rfid-uhf-labels"/>
    <hyperlink ref="C41" r:id="rId40" display="https://indiarfidshop.com/products/hrp-70-pendrive-reader"/>
    <hyperlink ref="C42" r:id="rId41" display="https://indiarfidshop.com/products/pbr3-bluetooth-uhf-rfid-portable-reader"/>
    <hyperlink ref="C43" r:id="rId42" display="https://indiarfidshop.com/products/RFID-Laundry-Textile-Tags"/>
    <hyperlink ref="C44" r:id="rId43" display="https://indiarfidshop.com/products/ua12"/>
    <hyperlink ref="C45" r:id="rId44" display="https://indiarfidshop.com/products/udm12r-uhf-Integrated-reader"/>
    <hyperlink ref="C46" r:id="rId45" display="https://indiarfidshop.com/products/udr-107"/>
    <hyperlink ref="C47" r:id="rId46" display="https://indiarfidshop.com/products/uhr-5"/>
    <hyperlink ref="C48" r:id="rId47" display="https://indiarfidshop.com/products/vst-9640-rfid-uhf-inlays"/>
    <hyperlink ref="C49" r:id="rId48" display="https://indiarfidshop.com/products/acs112u"/>
    <hyperlink ref="C50" r:id="rId49" display="https://indiarfidshop.com/products/dogbone-rfid-uhf-inlay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95"/>
    <col collapsed="false" customWidth="true" hidden="false" outlineLevel="0" max="4" min="4" style="0" width="40"/>
  </cols>
  <sheetData>
    <row r="1" customFormat="false" ht="15" hidden="false" customHeight="false" outlineLevel="0" collapsed="false">
      <c r="A1" s="9" t="s">
        <v>402</v>
      </c>
      <c r="B1" s="9" t="s">
        <v>403</v>
      </c>
      <c r="C1" s="9" t="s">
        <v>404</v>
      </c>
      <c r="D1" s="9" t="s">
        <v>405</v>
      </c>
    </row>
    <row r="2" customFormat="false" ht="147.75" hidden="false" customHeight="false" outlineLevel="0" collapsed="false">
      <c r="A2" s="10" t="s">
        <v>406</v>
      </c>
      <c r="B2" s="10" t="s">
        <v>407</v>
      </c>
      <c r="C2" s="14" t="s">
        <v>408</v>
      </c>
      <c r="D2" s="10" t="s">
        <v>409</v>
      </c>
    </row>
    <row r="3" customFormat="false" ht="85.05" hidden="false" customHeight="false" outlineLevel="0" collapsed="false">
      <c r="A3" s="10" t="s">
        <v>410</v>
      </c>
      <c r="B3" s="10" t="s">
        <v>411</v>
      </c>
      <c r="C3" s="14" t="s">
        <v>412</v>
      </c>
      <c r="D3" s="10" t="s">
        <v>413</v>
      </c>
    </row>
    <row r="4" customFormat="false" ht="53.7" hidden="false" customHeight="false" outlineLevel="0" collapsed="false">
      <c r="A4" s="10" t="s">
        <v>414</v>
      </c>
      <c r="B4" s="10" t="s">
        <v>415</v>
      </c>
      <c r="C4" s="14" t="s">
        <v>416</v>
      </c>
      <c r="D4" s="10" t="s">
        <v>417</v>
      </c>
    </row>
    <row r="5" customFormat="false" ht="158.2" hidden="false" customHeight="false" outlineLevel="0" collapsed="false">
      <c r="A5" s="10" t="s">
        <v>418</v>
      </c>
      <c r="B5" s="10" t="s">
        <v>419</v>
      </c>
      <c r="C5" s="14" t="s">
        <v>420</v>
      </c>
      <c r="D5" s="10" t="s">
        <v>421</v>
      </c>
    </row>
    <row r="6" customFormat="false" ht="53.7" hidden="false" customHeight="false" outlineLevel="0" collapsed="false">
      <c r="A6" s="10" t="s">
        <v>422</v>
      </c>
      <c r="B6" s="10" t="s">
        <v>423</v>
      </c>
      <c r="C6" s="14" t="s">
        <v>424</v>
      </c>
      <c r="D6" s="10" t="s">
        <v>425</v>
      </c>
    </row>
    <row r="7" customFormat="false" ht="105.95" hidden="false" customHeight="false" outlineLevel="0" collapsed="false">
      <c r="A7" s="10" t="s">
        <v>426</v>
      </c>
      <c r="B7" s="10" t="s">
        <v>427</v>
      </c>
      <c r="C7" s="14" t="s">
        <v>428</v>
      </c>
      <c r="D7" s="10" t="s">
        <v>23</v>
      </c>
    </row>
    <row r="8" customFormat="false" ht="64.15" hidden="false" customHeight="false" outlineLevel="0" collapsed="false">
      <c r="A8" s="10" t="s">
        <v>429</v>
      </c>
      <c r="B8" s="10" t="s">
        <v>430</v>
      </c>
      <c r="C8" s="14" t="s">
        <v>431</v>
      </c>
      <c r="D8" s="10" t="s">
        <v>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2026-10-07T10:48:40Z</dcterms:created>
  <dc:creator>openpyxl</dc:creator>
  <dc:description/>
  <dc:language>en-US</dc:language>
  <cp:lastModifiedBy/>
  <dcterms:modified xsi:type="dcterms:W3CDTF">2026-10-07T10:48:40Z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