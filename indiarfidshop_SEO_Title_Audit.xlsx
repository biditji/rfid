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ssues" sheetId="2" state="visible" r:id="rId4"/>
    <sheet name="All Pages" sheetId="3" state="visible" r:id="rId5"/>
    <sheet name="Code Fixes" sheetId="4" state="visible" r:id="rId6"/>
  </sheets>
  <definedNames>
    <definedName function="false" hidden="true" localSheetId="2" name="_xlnm._FilterDatabase" vbProcedure="false">'All Pages'!$A$1:$K$50</definedName>
    <definedName function="false" hidden="true" localSheetId="1" name="_xlnm._FilterDatabase" vbProcedure="false">Issues!$A$1:$O$74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<sst xmlns="http://schemas.openxmlformats.org/spreadsheetml/2006/main" count="1088" uniqueCount="433">
  <si>
    <t xml:space="preserve">indiarfidshop.com – Title Tag &amp; On-Page SEO Audit</t>
  </si>
  <si>
    <t xml:space="preserve">Audit date: 7 Oct 2026 · Source: live pages fetched from indiarfidshop.com (all 49 sitemap URLs)</t>
  </si>
  <si>
    <t xml:space="preserve">Headline numbers</t>
  </si>
  <si>
    <t xml:space="preserve">Pages audited</t>
  </si>
  <si>
    <t xml:space="preserve">Pages with missing title</t>
  </si>
  <si>
    <t xml:space="preserve">Pages needing a fix</t>
  </si>
  <si>
    <t xml:space="preserve">Pages with brand twice</t>
  </si>
  <si>
    <t xml:space="preserve">Pages with duplicate titles</t>
  </si>
  <si>
    <t xml:space="preserve">Pages with titles over 60 chars</t>
  </si>
  <si>
    <t xml:space="preserve">Total issues logged</t>
  </si>
  <si>
    <t xml:space="preserve">Issues still open</t>
  </si>
  <si>
    <t xml:space="preserve">Issues by problem</t>
  </si>
  <si>
    <t xml:space="preserve">Total</t>
  </si>
  <si>
    <t xml:space="preserve">High</t>
  </si>
  <si>
    <t xml:space="preserve">Medium</t>
  </si>
  <si>
    <t xml:space="preserve">Low</t>
  </si>
  <si>
    <t xml:space="preserve">Duplicate brand in title</t>
  </si>
  <si>
    <t xml:space="preserve">Generic title – no keywords</t>
  </si>
  <si>
    <t xml:space="preserve">Duplicate title across category pages</t>
  </si>
  <si>
    <t xml:space="preserve">Title is only model name – no keywords</t>
  </si>
  <si>
    <t xml:space="preserve">Spammy / question-style title</t>
  </si>
  <si>
    <t xml:space="preserve">Model number missing from title</t>
  </si>
  <si>
    <t xml:space="preserve">Canonical tag missing</t>
  </si>
  <si>
    <t xml:space="preserve">Typo in category URL</t>
  </si>
  <si>
    <t xml:space="preserve">H1 contains '|' / brand text</t>
  </si>
  <si>
    <t xml:space="preserve">Weak meta description</t>
  </si>
  <si>
    <t xml:space="preserve">Generic og:title (social share title)</t>
  </si>
  <si>
    <t xml:space="preserve">Generic twitter:title / twitter:description</t>
  </si>
  <si>
    <t xml:space="preserve">Page content not visible to crawlers</t>
  </si>
  <si>
    <t xml:space="preserve">H1 does not match page</t>
  </si>
  <si>
    <t xml:space="preserve">Title too long (&gt; 60 characters)</t>
  </si>
  <si>
    <t xml:space="preserve">Weak title wording</t>
  </si>
  <si>
    <t xml:space="preserve">H1 does not match title</t>
  </si>
  <si>
    <t xml:space="preserve">How to use this workbook</t>
  </si>
  <si>
    <t xml:space="preserve">• Issues: one row per problem per page, sorted High → Low. Work top-down.</t>
  </si>
  <si>
    <t xml:space="preserve">• Edit only the yellow columns (Status, Owner, Notes). Status: Open / In Progress / Fixed / Verified.</t>
  </si>
  <si>
    <t xml:space="preserve">• 'Suggested Value' = what to type in your admin panel. Titles are entered WITHOUT '| Virtualsphere' – the site adds it (see Final Title column).</t>
  </si>
  <si>
    <t xml:space="preserve">• All Pages: every sitemap URL with its live title and automatic checks (length, brand count, duplicates).</t>
  </si>
  <si>
    <t xml:space="preserve">• Code Fixes: the Next.js changes that fix most issues in one deploy (fixes 1, 2 and 4 cover ~30 pages).</t>
  </si>
  <si>
    <t xml:space="preserve">• No page is missing a title tag – the problems are duplicates, missing keywords and length.</t>
  </si>
  <si>
    <t xml:space="preserve">ID</t>
  </si>
  <si>
    <t xml:space="preserve">Priority</t>
  </si>
  <si>
    <t xml:space="preserve">Page Type</t>
  </si>
  <si>
    <t xml:space="preserve">Page Name</t>
  </si>
  <si>
    <t xml:space="preserve">Page URL</t>
  </si>
  <si>
    <t xml:space="preserve">Problem</t>
  </si>
  <si>
    <t xml:space="preserve">Current Value</t>
  </si>
  <si>
    <t xml:space="preserve">Problem Details</t>
  </si>
  <si>
    <t xml:space="preserve">Fix Steps</t>
  </si>
  <si>
    <t xml:space="preserve">Suggested Value (enter in admin)</t>
  </si>
  <si>
    <t xml:space="preserve">Final Title in Google</t>
  </si>
  <si>
    <t xml:space="preserve">Final Title Length</t>
  </si>
  <si>
    <t xml:space="preserve">Status</t>
  </si>
  <si>
    <t xml:space="preserve">Owner</t>
  </si>
  <si>
    <t xml:space="preserve">Notes</t>
  </si>
  <si>
    <t xml:space="preserve">T001</t>
  </si>
  <si>
    <t xml:space="preserve">Home</t>
  </si>
  <si>
    <t xml:space="preserve">Homepage</t>
  </si>
  <si>
    <t xml:space="preserve">https://indiarfidshop.com/</t>
  </si>
  <si>
    <t xml:space="preserve">Virtualsphere — Enterprise RFID Solutions | Virtualsphere</t>
  </si>
  <si>
    <t xml:space="preserve">'Virtualsphere' appears twice. Google sees repeated words; wastes title space.</t>
  </si>
  <si>
    <t xml:space="preserve">1) Set this page's metadata title to the Suggested Title only (no brand) – the layout template adds ' | Virtualsphere'.
2) For the homepage use title: { absolute: '&lt;full title&gt;' } so the template is not added twice.
3) Deploy and confirm the brand appears once in page source.</t>
  </si>
  <si>
    <t xml:space="preserve">RFID Readers, Tags &amp; Antennas in India | Virtualsphere</t>
  </si>
  <si>
    <t xml:space="preserve">Open</t>
  </si>
  <si>
    <t xml:space="preserve">T002</t>
  </si>
  <si>
    <t xml:space="preserve">Homepage title has no product keywords (RFID reader, tags, antenna) and no 'India'; homepage is your strongest page for ranking.</t>
  </si>
  <si>
    <t xml:space="preserve">1) Set a page-specific metadata title (Suggested Title) in this page's page.tsx.
2) Include what the page offers + a keyword (RFID readers, tags, India).
3) Deploy and verify in page source.</t>
  </si>
  <si>
    <t xml:space="preserve">T003</t>
  </si>
  <si>
    <t xml:space="preserve">Category</t>
  </si>
  <si>
    <t xml:space="preserve">Barcode Printers</t>
  </si>
  <si>
    <t xml:space="preserve">https://indiarfidshop.com/products?category=barcode-printers</t>
  </si>
  <si>
    <t xml:space="preserve">Products | Virtualsphere</t>
  </si>
  <si>
    <t xml:space="preserve">All 13 category pages share the title 'Products | Virtualsphere' (and the same meta description). Google treats them as duplicates and none ranks for 'Barcode Printers'. Verified live on handheld-reader and raid-tags; same template for all categories.</t>
  </si>
  <si>
    <t xml:space="preserve">1) In app/products/page.tsx add generateMetadata({ searchParams }) that reads ?category=, looks up the category name and returns title: category ? &lt;Suggested Title&gt; : 'Buy RFID Readers, Tags &amp; Antennas Online'.
2) Also return a matching meta description (use the category description) and canonical /products?category=&lt;slug&gt;.
3) Deploy and check page source for each category URL.</t>
  </si>
  <si>
    <t xml:space="preserve">T004</t>
  </si>
  <si>
    <t xml:space="preserve">UHF Integrated Reader</t>
  </si>
  <si>
    <t xml:space="preserve">https://indiarfidshop.com/products?category=integrated-reader</t>
  </si>
  <si>
    <t xml:space="preserve">All 13 category pages share the title 'Products | Virtualsphere' (and the same meta description). Google treats them as duplicates and none ranks for 'UHF Integrated Reader'. Verified live on handheld-reader and raid-tags; same template for all categories.</t>
  </si>
  <si>
    <t xml:space="preserve">UHF Integrated RFID Readers</t>
  </si>
  <si>
    <t xml:space="preserve">T005</t>
  </si>
  <si>
    <t xml:space="preserve">Four Port UHF Reader</t>
  </si>
  <si>
    <t xml:space="preserve">https://indiarfidshop.com/products?category=four-port-reader</t>
  </si>
  <si>
    <t xml:space="preserve">All 13 category pages share the title 'Products | Virtualsphere' (and the same meta description). Google treats them as duplicates and none ranks for 'Four Port UHF Reader'. Verified live on handheld-reader and raid-tags; same template for all categories.</t>
  </si>
  <si>
    <t xml:space="preserve">4-Port UHF RFID Fixed Readers</t>
  </si>
  <si>
    <t xml:space="preserve">T006</t>
  </si>
  <si>
    <t xml:space="preserve">RFID Tags</t>
  </si>
  <si>
    <t xml:space="preserve">https://indiarfidshop.com/products?category=raid-tags</t>
  </si>
  <si>
    <t xml:space="preserve">All 13 category pages share the title 'Products | Virtualsphere' (and the same meta description). Google treats them as duplicates and none ranks for 'RFID Tags'. Verified live on handheld-reader and raid-tags; same template for all categories.</t>
  </si>
  <si>
    <t xml:space="preserve">RFID Tags – UHF, HF &amp; On-Metal</t>
  </si>
  <si>
    <t xml:space="preserve">T007</t>
  </si>
  <si>
    <t xml:space="preserve">RFID UHF Labels</t>
  </si>
  <si>
    <t xml:space="preserve">https://indiarfidshop.com/products?category=Rfid-uhf-label-tags</t>
  </si>
  <si>
    <t xml:space="preserve">All 13 category pages share the title 'Products | Virtualsphere' (and the same meta description). Google treats them as duplicates and none ranks for 'RFID UHF Labels'. Verified live on handheld-reader and raid-tags; same template for all categories.</t>
  </si>
  <si>
    <t xml:space="preserve">UHF RFID Labels</t>
  </si>
  <si>
    <t xml:space="preserve">T008</t>
  </si>
  <si>
    <t xml:space="preserve">RFID Laundry Tags</t>
  </si>
  <si>
    <t xml:space="preserve">https://indiarfidshop.com/products?category=rfid-laundary-tags</t>
  </si>
  <si>
    <t xml:space="preserve">All 13 category pages share the title 'Products | Virtualsphere' (and the same meta description). Google treats them as duplicates and none ranks for 'RFID Laundry Tags'. Verified live on handheld-reader and raid-tags; same template for all categories.</t>
  </si>
  <si>
    <t xml:space="preserve">T009</t>
  </si>
  <si>
    <t xml:space="preserve">RFID UHF Inlay</t>
  </si>
  <si>
    <t xml:space="preserve">https://indiarfidshop.com/products?category=rfid-uhf-inlay</t>
  </si>
  <si>
    <t xml:space="preserve">All 13 category pages share the title 'Products | Virtualsphere' (and the same meta description). Google treats them as duplicates and none ranks for 'RFID UHF Inlay'. Verified live on handheld-reader and raid-tags; same template for all categories.</t>
  </si>
  <si>
    <t xml:space="preserve">UHF RFID Inlays – Dry &amp; Wet</t>
  </si>
  <si>
    <t xml:space="preserve">T010</t>
  </si>
  <si>
    <t xml:space="preserve">UHF RFID Tags</t>
  </si>
  <si>
    <t xml:space="preserve">https://indiarfidshop.com/products?category=uhf-rfid-tags</t>
  </si>
  <si>
    <t xml:space="preserve">All 13 category pages share the title 'Products | Virtualsphere' (and the same meta description). Google treats them as duplicates and none ranks for 'UHF RFID Tags'. Verified live on handheld-reader and raid-tags; same template for all categories.</t>
  </si>
  <si>
    <t xml:space="preserve">UHF RFID ABS Hard Tags</t>
  </si>
  <si>
    <t xml:space="preserve">T011</t>
  </si>
  <si>
    <t xml:space="preserve">RFID UHF Antenna</t>
  </si>
  <si>
    <t xml:space="preserve">https://indiarfidshop.com/products?category=rfid-uhf-antenna</t>
  </si>
  <si>
    <t xml:space="preserve">All 13 category pages share the title 'Products | Virtualsphere' (and the same meta description). Google treats them as duplicates and none ranks for 'RFID UHF Antenna'. Verified live on handheld-reader and raid-tags; same template for all categories.</t>
  </si>
  <si>
    <t xml:space="preserve">UHF RFID Antennas</t>
  </si>
  <si>
    <t xml:space="preserve">T012</t>
  </si>
  <si>
    <t xml:space="preserve">RFID Handheld Reader</t>
  </si>
  <si>
    <t xml:space="preserve">https://indiarfidshop.com/products?category=handheld-reader</t>
  </si>
  <si>
    <t xml:space="preserve">All 13 category pages share the title 'Products | Virtualsphere' (and the same meta description). Google treats them as duplicates and none ranks for 'RFID Handheld Reader'. Verified live on handheld-reader and raid-tags; same template for all categories.</t>
  </si>
  <si>
    <t xml:space="preserve">UHF RFID Handheld Readers</t>
  </si>
  <si>
    <t xml:space="preserve">T013</t>
  </si>
  <si>
    <t xml:space="preserve">UHF Desktop Reader</t>
  </si>
  <si>
    <t xml:space="preserve">https://indiarfidshop.com/products?category=uhf-desktop-reader</t>
  </si>
  <si>
    <t xml:space="preserve">All 13 category pages share the title 'Products | Virtualsphere' (and the same meta description). Google treats them as duplicates and none ranks for 'UHF Desktop Reader'. Verified live on handheld-reader and raid-tags; same template for all categories.</t>
  </si>
  <si>
    <t xml:space="preserve">UHF RFID Desktop Readers &amp; Writers</t>
  </si>
  <si>
    <t xml:space="preserve">T014</t>
  </si>
  <si>
    <t xml:space="preserve">HF RFID Reader</t>
  </si>
  <si>
    <t xml:space="preserve">https://indiarfidshop.com/products?category=hf-rfid-desktop-reader</t>
  </si>
  <si>
    <t xml:space="preserve">All 13 category pages share the title 'Products | Virtualsphere' (and the same meta description). Google treats them as duplicates and none ranks for 'HF RFID Reader'. Verified live on handheld-reader and raid-tags; same template for all categories.</t>
  </si>
  <si>
    <t xml:space="preserve">HF 13.56 MHz RFID Readers</t>
  </si>
  <si>
    <t xml:space="preserve">T015</t>
  </si>
  <si>
    <t xml:space="preserve">RFID LF and HF Pendrive Reader</t>
  </si>
  <si>
    <t xml:space="preserve">https://indiarfidshop.com/products?category=rfid-lf-and-hf-pendrive-reader</t>
  </si>
  <si>
    <t xml:space="preserve">All 13 category pages share the title 'Products | Virtualsphere' (and the same meta description). Google treats them as duplicates and none ranks for 'RFID LF and HF Pendrive Reader'. Verified live on handheld-reader and raid-tags; same template for all categories.</t>
  </si>
  <si>
    <t xml:space="preserve">LF &amp; HF RFID USB Pendrive Readers</t>
  </si>
  <si>
    <t xml:space="preserve">T016</t>
  </si>
  <si>
    <t xml:space="preserve">Product</t>
  </si>
  <si>
    <t xml:space="preserve">Desktop Barcode Printer</t>
  </si>
  <si>
    <t xml:space="preserve">https://indiarfidshop.com/products/desktop-barcode-printer</t>
  </si>
  <si>
    <t xml:space="preserve">Desktop Barcode Printer | Virtualsphere | Virtualsphere</t>
  </si>
  <si>
    <t xml:space="preserve">Title ends with '| Virtualsphere | Virtualsphere'. Caused by product page code adding the brand AND the layout template adding it again.</t>
  </si>
  <si>
    <t xml:space="preserve">1) In app/products/[slug]/page.tsx (generateMetadata), strip the brand from the stored title: title: clean(product.seoTitle || product.name) where clean = t =&gt; t.replace(/\s*\|\s*Virtualsphere\s*$/i, '').
2) Keep the brand only in the layout template: title.template = '%s | Virtualsphere'.
3) In the admin panel, enter the Suggested Title WITHOUT '| Virtualsphere'.
4) Deploy, then view page source and confirm the brand appears once.</t>
  </si>
  <si>
    <t xml:space="preserve">Desktop Barcode Label Printer</t>
  </si>
  <si>
    <t xml:space="preserve">T017</t>
  </si>
  <si>
    <t xml:space="preserve">HRD 13</t>
  </si>
  <si>
    <t xml:space="preserve">https://indiarfidshop.com/products/hrd-13</t>
  </si>
  <si>
    <t xml:space="preserve">HRD 13 | Virtualsphere | Virtualsphere</t>
  </si>
  <si>
    <t xml:space="preserve">HRD 13 HF 13.56MHz USB Desktop RFID Reader</t>
  </si>
  <si>
    <t xml:space="preserve">T018</t>
  </si>
  <si>
    <t xml:space="preserve">LRP 70 Pendrive Reader</t>
  </si>
  <si>
    <t xml:space="preserve">https://indiarfidshop.com/products/lrp-70-pendrive-reader</t>
  </si>
  <si>
    <t xml:space="preserve">LRP 70 Pendrive Reader | Virtualsphere | Virtualsphere</t>
  </si>
  <si>
    <t xml:space="preserve">LRP 70 125KHz LF RFID USB Pendrive Reader</t>
  </si>
  <si>
    <t xml:space="preserve">T019</t>
  </si>
  <si>
    <t xml:space="preserve">UA9</t>
  </si>
  <si>
    <t xml:space="preserve">https://indiarfidshop.com/products/ua9</t>
  </si>
  <si>
    <t xml:space="preserve">UA9 | Virtualsphere | Virtualsphere</t>
  </si>
  <si>
    <t xml:space="preserve">UA9 9dBi Circular UHF RFID Antenna, IP67</t>
  </si>
  <si>
    <t xml:space="preserve">T020</t>
  </si>
  <si>
    <t xml:space="preserve">UCA3</t>
  </si>
  <si>
    <t xml:space="preserve">https://indiarfidshop.com/products/uca3</t>
  </si>
  <si>
    <t xml:space="preserve">UCA3 | Virtualsphere | Virtualsphere</t>
  </si>
  <si>
    <t xml:space="preserve">UCA3 3dBi Ceramic UHF RFID Patch Antenna</t>
  </si>
  <si>
    <t xml:space="preserve">T021</t>
  </si>
  <si>
    <t xml:space="preserve">UDR-W101</t>
  </si>
  <si>
    <t xml:space="preserve">https://indiarfidshop.com/products/udr-w101-uhf-rfid-desktop-reader-writer</t>
  </si>
  <si>
    <t xml:space="preserve">UDR-W101 RFID Desktop Reader &amp; Writer | Virtualsphere | Virtualsphere</t>
  </si>
  <si>
    <t xml:space="preserve">UDR-W101 UHF RFID Desktop Reader &amp; Writer</t>
  </si>
  <si>
    <t xml:space="preserve">T022</t>
  </si>
  <si>
    <t xml:space="preserve">UDT9R Jewellery Tray Reader</t>
  </si>
  <si>
    <t xml:space="preserve">https://indiarfidshop.com/products/udt9r-rfid-jewellery-tray-reader</t>
  </si>
  <si>
    <t xml:space="preserve">UDT9R RFID Jewellery Tray Reader | Virtualsphere | Virtualsphere</t>
  </si>
  <si>
    <t xml:space="preserve">UDT9R RFID Jewellery Tray Reader, Bluetooth</t>
  </si>
  <si>
    <t xml:space="preserve">T023</t>
  </si>
  <si>
    <t xml:space="preserve">UHR2</t>
  </si>
  <si>
    <t xml:space="preserve">https://indiarfidshop.com/products/uhr2-uhf-rfid-handheld-reader</t>
  </si>
  <si>
    <t xml:space="preserve">UHR2 UHF RFID Handheld Reader | Virtualsphere | Virtualsphere</t>
  </si>
  <si>
    <t xml:space="preserve">UHR2 Android UHF RFID Handheld Reader, 20m</t>
  </si>
  <si>
    <t xml:space="preserve">T024</t>
  </si>
  <si>
    <t xml:space="preserve">VST-9662 Inlay</t>
  </si>
  <si>
    <t xml:space="preserve">https://indiarfidshop.com/products/vst-9662-rfid-uhf-inlay-higgs-3</t>
  </si>
  <si>
    <t xml:space="preserve">VST-9662 RFID UHF Inlay | Higgs-3 Tag | Virtualsphere | Virtualsphere</t>
  </si>
  <si>
    <t xml:space="preserve">VST-9662 UHF RFID Inlay, Alien Higgs-3</t>
  </si>
  <si>
    <t xml:space="preserve">T025</t>
  </si>
  <si>
    <t xml:space="preserve">PBR3</t>
  </si>
  <si>
    <t xml:space="preserve">https://indiarfidshop.com/products/pbr3-bluetooth-uhf-rfid-portable-reader</t>
  </si>
  <si>
    <t xml:space="preserve">PBR3 Bluetooth UHF RFID Portable Reader | Virtualsphere | Virtualsphere</t>
  </si>
  <si>
    <t xml:space="preserve">PBR3 Bluetooth UHF RFID Portable Reader</t>
  </si>
  <si>
    <t xml:space="preserve">T026</t>
  </si>
  <si>
    <t xml:space="preserve">UA12</t>
  </si>
  <si>
    <t xml:space="preserve">https://indiarfidshop.com/products/ua12</t>
  </si>
  <si>
    <t xml:space="preserve">UA12 UHF 12DBI RFID Circular Antenna, 870 MHz | Virtualsphere | Virtualsphere</t>
  </si>
  <si>
    <t xml:space="preserve">UA12 12dBi Circular UHF RFID Antenna</t>
  </si>
  <si>
    <t xml:space="preserve">T027</t>
  </si>
  <si>
    <t xml:space="preserve">UHR 5</t>
  </si>
  <si>
    <t xml:space="preserve">https://indiarfidshop.com/products/uhr-5</t>
  </si>
  <si>
    <t xml:space="preserve">Are you Looking for the best UHR 5 Handheld Reader | Virtualsphere | Virtualsphere</t>
  </si>
  <si>
    <t xml:space="preserve">UHR 5 UHF RFID Handheld Reader with NFC</t>
  </si>
  <si>
    <t xml:space="preserve">T028</t>
  </si>
  <si>
    <t xml:space="preserve">Title is just the model code; nobody searches 'UCA3'/'UA9' – they search 'UHF RFID antenna', 'HF RFID reader'.</t>
  </si>
  <si>
    <t xml:space="preserve">1) In the admin panel, replace the SEO title with the Suggested Title (model + product type + key spec).
2) Keep the main keyword (e.g. 'UHF RFID Antenna', 'RFID Reader') near the start.
3) Keep the final title ≤ 60 characters (see Final Length column).</t>
  </si>
  <si>
    <t xml:space="preserve">T029</t>
  </si>
  <si>
    <t xml:space="preserve">T030</t>
  </si>
  <si>
    <t xml:space="preserve">T031</t>
  </si>
  <si>
    <t xml:space="preserve">T032</t>
  </si>
  <si>
    <t xml:space="preserve">'Are you Looking for the best UHR 5 Handheld Reader' looks like clickbait; Google often rewrites such titles. Also too long.</t>
  </si>
  <si>
    <t xml:space="preserve">1) In the admin panel, replace the question-style title with the Suggested Title.
2) Avoid phrases like 'Are you looking for the best' – Google may rewrite or ignore such titles.
3) Verify final title ≤ 60 characters.</t>
  </si>
  <si>
    <t xml:space="preserve">T033</t>
  </si>
  <si>
    <t xml:space="preserve">UDR 102</t>
  </si>
  <si>
    <t xml:space="preserve">https://indiarfidshop.com/products/udr-102</t>
  </si>
  <si>
    <t xml:space="preserve">RFID Desktop Reader | RFID Reader &amp; Writer | 3-5 Mtrs range | Virtualsphere</t>
  </si>
  <si>
    <t xml:space="preserve">Title 'RFID Desktop Reader | RFID Reader &amp; Writer | 3-5 Mtrs range' never mentions 'UDR 102'. Also repeats 'RFID Reader' and is too long.</t>
  </si>
  <si>
    <t xml:space="preserve">1) In the admin panel, put the model number first: use the Suggested Title.
2) Buyers search by model (e.g. 'UDR 102'); the current title doesn't contain it.
3) Verify final title ≤ 60 characters.</t>
  </si>
  <si>
    <t xml:space="preserve">UDR 102 UHF RFID Desktop Reader &amp; Writer</t>
  </si>
  <si>
    <t xml:space="preserve">T034</t>
  </si>
  <si>
    <t xml:space="preserve">Sitewide</t>
  </si>
  <si>
    <t xml:space="preserve">All pages</t>
  </si>
  <si>
    <t xml:space="preserve">No &lt;link rel="canonical"&gt; or og:url found on any page checked. Risk of duplicate URLs (case variants, ?sort=, ?search=) splitting ranking.</t>
  </si>
  <si>
    <t xml:space="preserve">1) In app/layout.tsx set metadataBase: new URL('https://indiarfidshop.com').
2) In each page's metadata add alternates: { canonical: '&lt;path&gt;' } (products: /products/&lt;db slug&gt;; categories: /products?category=&lt;slug&gt;).
3) Do NOT set a fixed canonical in the layout.
4) Verify with URL Inspection → 'User-declared canonical'.</t>
  </si>
  <si>
    <t xml:space="preserve">T035</t>
  </si>
  <si>
    <t xml:space="preserve">Main</t>
  </si>
  <si>
    <t xml:space="preserve">Products</t>
  </si>
  <si>
    <t xml:space="preserve">https://indiarfidshop.com/products</t>
  </si>
  <si>
    <t xml:space="preserve">'Products' tells Google nothing about what you sell.</t>
  </si>
  <si>
    <t xml:space="preserve">Buy RFID Readers, Tags &amp; Antennas Online</t>
  </si>
  <si>
    <t xml:space="preserve">T036</t>
  </si>
  <si>
    <t xml:space="preserve">Privacy Policy</t>
  </si>
  <si>
    <t xml:space="preserve">https://indiarfidshop.com/privacy</t>
  </si>
  <si>
    <t xml:space="preserve">Privacy Policy - Virtualsphere | Virtualsphere</t>
  </si>
  <si>
    <t xml:space="preserve">'Privacy Policy - Virtualsphere | Virtualsphere' – brand twice.</t>
  </si>
  <si>
    <t xml:space="preserve">T037</t>
  </si>
  <si>
    <t xml:space="preserve">Terms &amp; Conditions</t>
  </si>
  <si>
    <t xml:space="preserve">https://indiarfidshop.com/terms</t>
  </si>
  <si>
    <t xml:space="preserve">Terms &amp; Conditions - Virtualsphere | Virtualsphere</t>
  </si>
  <si>
    <t xml:space="preserve">'Terms &amp; Conditions - Virtualsphere | Virtualsphere' – brand twice.</t>
  </si>
  <si>
    <t xml:space="preserve">T038</t>
  </si>
  <si>
    <t xml:space="preserve">Slug 'raid-tags' should be 'rfid-tags' – keyword in URL is misspelled.</t>
  </si>
  <si>
    <t xml:space="preserve">1) Rename the category slug in admin (raid-tags → rfid-tags; rfid-laundary-tags → rfid-laundry-tags).
2) Add a 301 redirect from the old URL to the new URL (next.config.js redirects()).
3) Update all internal links and the sitemap.xml entry, then resubmit the sitemap in Search Console.</t>
  </si>
  <si>
    <t xml:space="preserve">https://indiarfidshop.com/products?category=rfid-tags</t>
  </si>
  <si>
    <t xml:space="preserve">T039</t>
  </si>
  <si>
    <t xml:space="preserve">Slug 'laundary' should be 'laundry' (also in the 'RFID Laundary Tags' category name).</t>
  </si>
  <si>
    <t xml:space="preserve">https://indiarfidshop.com/products?category=rfid-laundry-tags</t>
  </si>
  <si>
    <t xml:space="preserve">T040</t>
  </si>
  <si>
    <t xml:space="preserve">(see Problem Details)</t>
  </si>
  <si>
    <t xml:space="preserve">The visible H1 heading includes pipe text such as '| Virtualsphere' – headings should be the clean product name.</t>
  </si>
  <si>
    <t xml:space="preserve">1) In the admin panel, set the product display name (H1) to the clean product name without '| Virtualsphere' or other pipe text.
2) If H1 and SEO title share one field, add a separate 'SEO Title' field so H1 stays clean.
3) Deploy and check that the page has exactly one H1.</t>
  </si>
  <si>
    <t xml:space="preserve">UDR-W101 RFID Desktop Reader &amp; Writer</t>
  </si>
  <si>
    <t xml:space="preserve">T041</t>
  </si>
  <si>
    <t xml:space="preserve">UDT9R RFID Jewellery Tray Reader</t>
  </si>
  <si>
    <t xml:space="preserve">T042</t>
  </si>
  <si>
    <t xml:space="preserve">UHR2 UHF RFID Handheld Reader</t>
  </si>
  <si>
    <t xml:space="preserve">T043</t>
  </si>
  <si>
    <t xml:space="preserve">VSL-F2</t>
  </si>
  <si>
    <t xml:space="preserve">https://indiarfidshop.com/products/vsl-f2-uhf-rfid-4-port-reader</t>
  </si>
  <si>
    <t xml:space="preserve">VSL-F2 UHF RFID 4 Port Reader – Impinj E710</t>
  </si>
  <si>
    <t xml:space="preserve">T044</t>
  </si>
  <si>
    <t xml:space="preserve">UHR 72</t>
  </si>
  <si>
    <t xml:space="preserve">https://indiarfidshop.com/products/uhr-72</t>
  </si>
  <si>
    <t xml:space="preserve">Meta description = title copy only ('RFID Handheld Reader | UHR 72').</t>
  </si>
  <si>
    <t xml:space="preserve">1) In the admin panel, replace the meta description with the Suggested Value (140–160 characters).
2) Include model, 2–3 key specs and the use case; don't repeat the title.
3) Deploy and verify &lt;meta name="description"&gt; in page source.</t>
  </si>
  <si>
    <t xml:space="preserve">Buy the UHR 72 UHF RFID handheld reader – EPC Gen2 / ISO 18000-6C with Gen2v2 authentication. Ideal for inventory, warehouse and asset tracking.</t>
  </si>
  <si>
    <t xml:space="preserve">T045</t>
  </si>
  <si>
    <t xml:space="preserve">UDM9R</t>
  </si>
  <si>
    <t xml:space="preserve">https://indiarfidshop.com/products/udm9r-Integrated-reader</t>
  </si>
  <si>
    <t xml:space="preserve">Too short (≈75 chars), no specs.</t>
  </si>
  <si>
    <t xml:space="preserve">UDM9R long range integrated UHF RFID reader with Impinj E310, 9dBi antenna, up to 15 m range, IP68, RS232, RJ45, Wiegand &amp; GPIO interfaces.</t>
  </si>
  <si>
    <t xml:space="preserve">T046</t>
  </si>
  <si>
    <t xml:space="preserve">UDM12R</t>
  </si>
  <si>
    <t xml:space="preserve">https://indiarfidshop.com/products/udm12r-uhf-Integrated-reader</t>
  </si>
  <si>
    <t xml:space="preserve">Too short (≈76 chars), no specs.</t>
  </si>
  <si>
    <t xml:space="preserve">UDM12R Impinj-based integrated UHF RFID reader, EPC Gen2 V2, read range up to 20 m, RS232, RJ45 &amp; GPIO – for access control, logistics &amp; assets.</t>
  </si>
  <si>
    <t xml:space="preserve">T047</t>
  </si>
  <si>
    <t xml:space="preserve">UDR 107</t>
  </si>
  <si>
    <t xml:space="preserve">https://indiarfidshop.com/products/udr-107</t>
  </si>
  <si>
    <t xml:space="preserve">Too short and unclear ('10-15mtrs Reader Long range desktop operating reader').</t>
  </si>
  <si>
    <t xml:space="preserve">UDR 107 long range UHF RFID desktop reader with 10–15 m read range for gates, counters and inventory points. Easy integration with your software.</t>
  </si>
  <si>
    <t xml:space="preserve">T048</t>
  </si>
  <si>
    <t xml:space="preserve">HRP 70 Pendrive Reader</t>
  </si>
  <si>
    <t xml:space="preserve">https://indiarfidshop.com/products/hrp-70-pendrive-reader</t>
  </si>
  <si>
    <t xml:space="preserve">Keyword list, not a sentence ('RFID Pendrive Reader | 13.56Mhz Reader | Portable Reader').</t>
  </si>
  <si>
    <t xml:space="preserve">HRP 70 driver-free 13.56MHz HF RFID USB pendrive reader, up to 80 mm range, IP65. Plug-and-play for access cards, attendance and NFC tags.</t>
  </si>
  <si>
    <t xml:space="preserve">T049</t>
  </si>
  <si>
    <t xml:space="preserve">Too long (≈280 chars) – Google cuts it at ~160.</t>
  </si>
  <si>
    <t xml:space="preserve">UDR 102 UHF RFID desktop reader &amp; writer with 3–5 m range for POS, registration and inventory. Works with Windows, iOS, Android and Linux.</t>
  </si>
  <si>
    <t xml:space="preserve">T050</t>
  </si>
  <si>
    <t xml:space="preserve">All main pages + categories</t>
  </si>
  <si>
    <t xml:space="preserve">og:title is 'Virtualsphere — Enterprise RFID Solutions' on home, products, categories, about, contact, privacy, terms and category pages – WhatsApp/LinkedIn shares all look the same.</t>
  </si>
  <si>
    <t xml:space="preserve">1) In each page's metadata set openGraph: { title: &lt;same as page title&gt;, url: &lt;path&gt; }.
2) Deploy and test a link in WhatsApp or LinkedIn Post Inspector.</t>
  </si>
  <si>
    <t xml:space="preserve">T051</t>
  </si>
  <si>
    <t xml:space="preserve">All product pages</t>
  </si>
  <si>
    <t xml:space="preserve">Seen on UDM9R: twitter:title = 'Virtualsphere — Enterprise RFID Solutions' instead of the product name.</t>
  </si>
  <si>
    <t xml:space="preserve">1) In product generateMetadata add twitter: { title: &lt;product title&gt;, description: &lt;meta description&gt;, images: [&lt;product image&gt;] }.
2) Deploy and verify in page source.</t>
  </si>
  <si>
    <t xml:space="preserve">T052</t>
  </si>
  <si>
    <t xml:space="preserve">Privacy page text was not found in the server HTML (only header/footer).</t>
  </si>
  <si>
    <t xml:space="preserve">1) Render the policy text on the server (no client-only fetch) or add it as static content.
2) Verify with URL Inspection → View crawled page.</t>
  </si>
  <si>
    <t xml:space="preserve">T053</t>
  </si>
  <si>
    <t xml:space="preserve">Terms page text was not found in the server HTML (only header/footer).</t>
  </si>
  <si>
    <t xml:space="preserve">1) Render the terms text on the server (no client-only fetch) or add it as static content.
2) Verify with URL Inspection → View crawled page.</t>
  </si>
  <si>
    <t xml:space="preserve">T054</t>
  </si>
  <si>
    <t xml:space="preserve">Categories</t>
  </si>
  <si>
    <t xml:space="preserve">https://indiarfidshop.com/categories</t>
  </si>
  <si>
    <t xml:space="preserve">Categories | Virtualsphere</t>
  </si>
  <si>
    <t xml:space="preserve">'Categories' has no search value.</t>
  </si>
  <si>
    <t xml:space="preserve">RFID Product Categories</t>
  </si>
  <si>
    <t xml:space="preserve">T055</t>
  </si>
  <si>
    <t xml:space="preserve">About</t>
  </si>
  <si>
    <t xml:space="preserve">https://indiarfidshop.com/about</t>
  </si>
  <si>
    <t xml:space="preserve">About Us | Virtualsphere</t>
  </si>
  <si>
    <t xml:space="preserve">Could carry brand + 'RFID manufacturer in India' for brand searches.</t>
  </si>
  <si>
    <t xml:space="preserve">About Us – RFID Manufacturer in India</t>
  </si>
  <si>
    <t xml:space="preserve">T056</t>
  </si>
  <si>
    <t xml:space="preserve">Contact</t>
  </si>
  <si>
    <t xml:space="preserve">https://indiarfidshop.com/contact</t>
  </si>
  <si>
    <t xml:space="preserve">Contact | Virtualsphere</t>
  </si>
  <si>
    <t xml:space="preserve">Generic; add intent words people search (quote, support).</t>
  </si>
  <si>
    <t xml:space="preserve">Contact Us – RFID Quotes &amp; Support</t>
  </si>
  <si>
    <t xml:space="preserve">T057</t>
  </si>
  <si>
    <t xml:space="preserve">H1 found on contact page: 'India RFID shop — RFID readers, tags, wristbands manufacturer &amp; supplier' – not about contacting you.</t>
  </si>
  <si>
    <t xml:space="preserve">1) In the admin panel, set the contact page heading (H1) to the clean product name without '| Virtualsphere' or other pipe text.
2) If H1 and SEO title share one field, add a separate 'SEO Title' field so H1 stays clean.
3) Deploy and check that the page has exactly one H1.</t>
  </si>
  <si>
    <t xml:space="preserve">Contact Virtualsphere</t>
  </si>
  <si>
    <t xml:space="preserve">T058</t>
  </si>
  <si>
    <t xml:space="preserve">RFID Cable Tie Tags</t>
  </si>
  <si>
    <t xml:space="preserve">https://indiarfidshop.com/products/RFID-Cable-Tie-uhf-Tags</t>
  </si>
  <si>
    <t xml:space="preserve">RFID Cable Tie Tags | UHF, HF &amp; LF Asset Tracking Tags | Virtualsphere</t>
  </si>
  <si>
    <t xml:space="preserve">Google shows ~60 characters (≈580px); the end of this title (usually the brand) gets cut off with '…'.</t>
  </si>
  <si>
    <t xml:space="preserve">1) In the admin panel, shorten the SEO title to the Suggested Title.
2) Remove repeated words ('RFID ... RFID Tags') and the second pipe section.
3) Confirm Final Length ≤ 60 so Google does not cut off the end.</t>
  </si>
  <si>
    <t xml:space="preserve">RFID Cable Tie Tags – UHF, HF &amp; LF</t>
  </si>
  <si>
    <t xml:space="preserve">T059</t>
  </si>
  <si>
    <t xml:space="preserve">RFID Silicon Laundry Tag</t>
  </si>
  <si>
    <t xml:space="preserve">https://indiarfidshop.com/products/RFID-silicon-tags-UHF-laundary-tags</t>
  </si>
  <si>
    <t xml:space="preserve">RFID Laundry Silicon Tags | Washable UHF Textile RFID Tags | Virtualsphere</t>
  </si>
  <si>
    <t xml:space="preserve">RFID Laundry Silicon Tags, Washable UHF</t>
  </si>
  <si>
    <t xml:space="preserve">T060</t>
  </si>
  <si>
    <t xml:space="preserve">VS Ferric-100 Metal Tags</t>
  </si>
  <si>
    <t xml:space="preserve">https://indiarfidshop.com/products/RFID-Ferric-100-Metal-UHF-Tags</t>
  </si>
  <si>
    <t xml:space="preserve">RFID Ferric 100 Metal Tags | UHF ABS On-Metal RFID Tags | Virtualsphere</t>
  </si>
  <si>
    <t xml:space="preserve">VS Ferric-100 UHF On-Metal RFID Tags</t>
  </si>
  <si>
    <t xml:space="preserve">T061</t>
  </si>
  <si>
    <t xml:space="preserve">VSL-A1</t>
  </si>
  <si>
    <t xml:space="preserve">https://indiarfidshop.com/products/vsl-a1</t>
  </si>
  <si>
    <t xml:space="preserve">VSL-A1 RFID Fixed Reader | Android UHF RFID Reader | Virtualsphere</t>
  </si>
  <si>
    <t xml:space="preserve">VSL-A1 Android UHF RFID Fixed Reader</t>
  </si>
  <si>
    <t xml:space="preserve">T062</t>
  </si>
  <si>
    <t xml:space="preserve">VST-9662 Labels</t>
  </si>
  <si>
    <t xml:space="preserve">https://indiarfidshop.com/products/vst-9662-rfid-uhf-labels</t>
  </si>
  <si>
    <t xml:space="preserve">VST-9662 RFID UHF Labels | Printable Higgs-3 Tags | Virtualsphere</t>
  </si>
  <si>
    <t xml:space="preserve">VST-9662 Printable UHF RFID Labels</t>
  </si>
  <si>
    <t xml:space="preserve">T063</t>
  </si>
  <si>
    <t xml:space="preserve">RFID Laundry Textile Tags</t>
  </si>
  <si>
    <t xml:space="preserve">https://indiarfidshop.com/products/RFID-Laundry-Textile-Tags</t>
  </si>
  <si>
    <t xml:space="preserve">RFID Laundry Textile Tags | Washable UHF Fabric RFID Tags | Virtualsphere</t>
  </si>
  <si>
    <t xml:space="preserve">RFID Laundry Textile Tags, Washable UHF</t>
  </si>
  <si>
    <t xml:space="preserve">T064</t>
  </si>
  <si>
    <t xml:space="preserve">VST-9640 Inlays</t>
  </si>
  <si>
    <t xml:space="preserve">https://indiarfidshop.com/products/vst-9640-rfid-uhf-inlays</t>
  </si>
  <si>
    <t xml:space="preserve">VST-9640 RFID UHF Inlays | Slim 98×12 mm Higgs-3 Tag | Virtualsphere</t>
  </si>
  <si>
    <t xml:space="preserve">VST-9640 Slim UHF RFID Inlays, Higgs-3</t>
  </si>
  <si>
    <t xml:space="preserve">T065</t>
  </si>
  <si>
    <t xml:space="preserve">Dogbone UHF Inlays</t>
  </si>
  <si>
    <t xml:space="preserve">https://indiarfidshop.com/products/dogbone-rfid-uhf-inlays</t>
  </si>
  <si>
    <t xml:space="preserve">Dogbone RFID UHF Inlays | Impinj M730 Tag, 15 m Range | Virtualsphere</t>
  </si>
  <si>
    <t xml:space="preserve">Dogbone UHF RFID Inlays, Impinj M730</t>
  </si>
  <si>
    <t xml:space="preserve">T066</t>
  </si>
  <si>
    <t xml:space="preserve">T067</t>
  </si>
  <si>
    <t xml:space="preserve">RFID HRP 70 HF Pendrive reader | Virtualsphere</t>
  </si>
  <si>
    <t xml:space="preserve">'RFID HRP 70 HF Pendrive reader' – model not first, lowercase 'reader', no frequency.</t>
  </si>
  <si>
    <t xml:space="preserve">HRP 70 13.56MHz HF RFID USB Pendrive Reader</t>
  </si>
  <si>
    <t xml:space="preserve">T068</t>
  </si>
  <si>
    <t xml:space="preserve">RFID Handheld Reader | UHR 72 | Virtualsphere</t>
  </si>
  <si>
    <t xml:space="preserve">Model should come first; generic 'RFID Handheld Reader' first makes it compete with every other handheld.</t>
  </si>
  <si>
    <t xml:space="preserve">UHR 72 UHF RFID Handheld Reader</t>
  </si>
  <si>
    <t xml:space="preserve">T069</t>
  </si>
  <si>
    <t xml:space="preserve">UDM9R UHF Integrated Reader | Virtualsphere</t>
  </si>
  <si>
    <t xml:space="preserve">Title 'UDM9R UHF Integrated Reader' misses 'RFID' and 'Long Range' (the H1 says Long Range Impinj RFID Reader).</t>
  </si>
  <si>
    <t xml:space="preserve">UDM9R Long Range Integrated UHF RFID Reader</t>
  </si>
  <si>
    <t xml:space="preserve">T070</t>
  </si>
  <si>
    <t xml:space="preserve">UDM12R UHF Integrated Reader | Virtualsphere</t>
  </si>
  <si>
    <t xml:space="preserve">Title misses 'RFID' and 'Impinj' which appear in the H1.</t>
  </si>
  <si>
    <t xml:space="preserve">UDM12R Impinj Integrated UHF RFID Reader</t>
  </si>
  <si>
    <t xml:space="preserve">T071</t>
  </si>
  <si>
    <t xml:space="preserve">Long Range RFID Reader | UDR 107 | Virtualsphere</t>
  </si>
  <si>
    <t xml:space="preserve">Model number should come first; add 'UHF'.</t>
  </si>
  <si>
    <t xml:space="preserve">UDR 107 Long Range UHF RFID Desktop Reader</t>
  </si>
  <si>
    <t xml:space="preserve">T072</t>
  </si>
  <si>
    <t xml:space="preserve">UDR-W105</t>
  </si>
  <si>
    <t xml:space="preserve">https://indiarfidshop.com/products/udr-w105-uhf-rfid-desktop-reader-writer</t>
  </si>
  <si>
    <t xml:space="preserve">H1 is 'UDR 105' while title says 'UDR-W105'. Use the same model name everywhere.</t>
  </si>
  <si>
    <t xml:space="preserve">UDR-W105 UHF RFID Desktop Reader &amp; Writer</t>
  </si>
  <si>
    <t xml:space="preserve">T073</t>
  </si>
  <si>
    <t xml:space="preserve">H1 'RFID SILICON TAG' is all caps and singular; title says 'RFID Laundry Silicon Tags'.</t>
  </si>
  <si>
    <t xml:space="preserve">RFID Laundry Silicon Tags</t>
  </si>
  <si>
    <t xml:space="preserve">Current Title</t>
  </si>
  <si>
    <t xml:space="preserve">Length</t>
  </si>
  <si>
    <t xml:space="preserve">'Virtualsphere' count</t>
  </si>
  <si>
    <t xml:space="preserve">Length Check</t>
  </si>
  <si>
    <t xml:space="preserve">Duplicate Check</t>
  </si>
  <si>
    <t xml:space="preserve">Issues Found</t>
  </si>
  <si>
    <t xml:space="preserve">Open Issues</t>
  </si>
  <si>
    <t xml:space="preserve">Overall</t>
  </si>
  <si>
    <t xml:space="preserve">UDR-W105 UHF RFID Desktop Reader &amp; Writer | Virtualsphere</t>
  </si>
  <si>
    <t xml:space="preserve">VSL-F2 UHF RFID 4 Port Reader | Impinj E710 | Virtualsphere</t>
  </si>
  <si>
    <t xml:space="preserve">ACS112U</t>
  </si>
  <si>
    <t xml:space="preserve">https://indiarfidshop.com/products/acs112u</t>
  </si>
  <si>
    <t xml:space="preserve">ACS112U NFC RFID Reader &amp; Writer | Virtualsphere</t>
  </si>
  <si>
    <t xml:space="preserve">Fix</t>
  </si>
  <si>
    <t xml:space="preserve">Where</t>
  </si>
  <si>
    <t xml:space="preserve">Code / Steps</t>
  </si>
  <si>
    <t xml:space="preserve">Fixes Problems</t>
  </si>
  <si>
    <t xml:space="preserve">1. Remove duplicate brand</t>
  </si>
  <si>
    <t xml:space="preserve">app/products/[slug]/page.tsx</t>
  </si>
  <si>
    <t xml:space="preserve">const clean = (t: string) =&gt; t.replace(/\s*\|\s*Virtualsphere\s*$/i, "");
export async function generateMetadata({ params }) {
  const { slug } = await params;
  const p = await getProduct(slug);
  const title = clean(p.seoTitle || p.name);
  return {
    title,                                   // layout template adds ' | Virtualsphere'
    description: p.metaDescription,
    alternates: { canonical: `/products/${p.slug}` },
    openGraph: { title, url: `/products/${p.slug}`, images: [p.image] },
    twitter: { title, description: p.metaDescription, images: [p.image] },
  };
}</t>
  </si>
  <si>
    <t xml:space="preserve">Duplicate brand in title; Generic twitter:title; Canonical tag missing</t>
  </si>
  <si>
    <t xml:space="preserve">2. Layout title template + base URL</t>
  </si>
  <si>
    <t xml:space="preserve">app/layout.tsx</t>
  </si>
  <si>
    <t xml:space="preserve">export const metadata: Metadata = {
  metadataBase: new URL("https://indiarfidshop.com"),
  title: {
    default: "RFID Readers, Tags &amp; Antennas in India | Virtualsphere",
    template: "%s | Virtualsphere",
  },
};
// Do NOT put alternates.canonical here.</t>
  </si>
  <si>
    <t xml:space="preserve">Duplicate brand in title; Canonical tag missing</t>
  </si>
  <si>
    <t xml:space="preserve">3. Homepage title</t>
  </si>
  <si>
    <t xml:space="preserve">app/page.tsx</t>
  </si>
  <si>
    <t xml:space="preserve">export const metadata = {
  title: { absolute: "RFID Readers, Tags &amp; Antennas in India | Virtualsphere" },
  alternates: { canonical: "/" },
  openGraph: { url: "/" },
};</t>
  </si>
  <si>
    <t xml:space="preserve">Homepage duplicate brand; Generic title</t>
  </si>
  <si>
    <t xml:space="preserve">4. Unique category titles</t>
  </si>
  <si>
    <t xml:space="preserve">app/products/page.tsx</t>
  </si>
  <si>
    <t xml:space="preserve">export async function generateMetadata({ searchParams }) {
  const { category } = await searchParams;
  if (!category) return {
    title: "Buy RFID Readers, Tags &amp; Antennas Online",
    alternates: { canonical: "/products" },
  };
  const c = await getCategory(category);
  const path = `/products?category=${encodeURIComponent(c.slug)}`;
  return {
    title: c.seoTitle || c.name,            // see Issues sheet for suggested titles
    description: c.description?.slice(0, 160),
    alternates: { canonical: path },
    openGraph: { title: c.seoTitle || c.name, url: path },
  };
}</t>
  </si>
  <si>
    <t xml:space="preserve">Duplicate title across category pages; Generic /products title</t>
  </si>
  <si>
    <t xml:space="preserve">5. Static pages</t>
  </si>
  <si>
    <t xml:space="preserve">app/about, contact, privacy, terms, categories → page.tsx</t>
  </si>
  <si>
    <t xml:space="preserve">export const metadata = {
  title: "About Us – RFID Manufacturer in India",   // no brand – template adds it
  alternates: { canonical: "/about" },
  openGraph: { url: "/about" },
};</t>
  </si>
  <si>
    <t xml:space="preserve">Generic titles; Duplicate brand on privacy/terms; Generic og:title</t>
  </si>
  <si>
    <t xml:space="preserve">6. Category slug redirects</t>
  </si>
  <si>
    <t xml:space="preserve">next.config.js</t>
  </si>
  <si>
    <t xml:space="preserve">async redirects() {
  return [
    { source: '/products', has: [{ type: 'query', key: 'category', value: 'raid-tags' }],
      destination: '/products?category=rfid-tags', permanent: true },
    { source: '/products', has: [{ type: 'query', key: 'category', value: 'rfid-laundary-tags' }],
      destination: '/products?category=rfid-laundry-tags', permanent: true },
  ];
}
// Then rename slugs in admin and update sitemap.xml</t>
  </si>
  <si>
    <t xml:space="preserve">7. Verify after deploy</t>
  </si>
  <si>
    <t xml:space="preserve">Browser / Search Console</t>
  </si>
  <si>
    <t xml:space="preserve">1) View page source (Ctrl+U) → check &lt;title&gt;, &lt;meta name="description"&gt;, &lt;link rel="canonical"&gt;.
2) Search Console → URL Inspection → Test live URL → View tested page.
3) Set the row Status to 'Fixed', then 'Verified' after Google recrawls.
4) Re-run: the All Pages sheet flags titles over 60 chars / duplicates once you paste new titles in column D.</t>
  </si>
  <si>
    <t xml:space="preserve">All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</si>
</sst>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sz val="9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DB"/>
        <bgColor rgb="FFFEF0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DF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EF0C7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FDE2E1"/>
        </patternFill>
      </fill>
    </dxf>
    <dxf>
      <fill>
        <patternFill>
          <bgColor rgb="FFFEF0C7"/>
        </patternFill>
      </fill>
    </dxf>
    <dxf>
      <fill>
        <patternFill>
          <bgColor rgb="FFD1FA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1155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DF"/>
      <rgbColor rgb="FFFEF0C7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ndiarfidshop.com/" TargetMode="External"/><Relationship Id="rId2" Type="http://schemas.openxmlformats.org/officeDocument/2006/relationships/hyperlink" Target="https://indiarfidshop.com/" TargetMode="External"/><Relationship Id="rId3" Type="http://schemas.openxmlformats.org/officeDocument/2006/relationships/hyperlink" Target="https://indiarfidshop.com/products?category=barcode-printers" TargetMode="External"/><Relationship Id="rId4" Type="http://schemas.openxmlformats.org/officeDocument/2006/relationships/hyperlink" Target="https://indiarfidshop.com/products?category=integrated-reader" TargetMode="External"/><Relationship Id="rId5" Type="http://schemas.openxmlformats.org/officeDocument/2006/relationships/hyperlink" Target="https://indiarfidshop.com/products?category=four-port-reader" TargetMode="External"/><Relationship Id="rId6" Type="http://schemas.openxmlformats.org/officeDocument/2006/relationships/hyperlink" Target="https://indiarfidshop.com/products?category=raid-tags" TargetMode="External"/><Relationship Id="rId7" Type="http://schemas.openxmlformats.org/officeDocument/2006/relationships/hyperlink" Target="https://indiarfidshop.com/products?category=Rfid-uhf-label-tags" TargetMode="External"/><Relationship Id="rId8" Type="http://schemas.openxmlformats.org/officeDocument/2006/relationships/hyperlink" Target="https://indiarfidshop.com/products?category=rfid-laundary-tags" TargetMode="External"/><Relationship Id="rId9" Type="http://schemas.openxmlformats.org/officeDocument/2006/relationships/hyperlink" Target="https://indiarfidshop.com/products?category=rfid-uhf-inlay" TargetMode="External"/><Relationship Id="rId10" Type="http://schemas.openxmlformats.org/officeDocument/2006/relationships/hyperlink" Target="https://indiarfidshop.com/products?category=uhf-rfid-tags" TargetMode="External"/><Relationship Id="rId11" Type="http://schemas.openxmlformats.org/officeDocument/2006/relationships/hyperlink" Target="https://indiarfidshop.com/products?category=rfid-uhf-antenna" TargetMode="External"/><Relationship Id="rId12" Type="http://schemas.openxmlformats.org/officeDocument/2006/relationships/hyperlink" Target="https://indiarfidshop.com/products?category=handheld-reader" TargetMode="External"/><Relationship Id="rId13" Type="http://schemas.openxmlformats.org/officeDocument/2006/relationships/hyperlink" Target="https://indiarfidshop.com/products?category=uhf-desktop-reader" TargetMode="External"/><Relationship Id="rId14" Type="http://schemas.openxmlformats.org/officeDocument/2006/relationships/hyperlink" Target="https://indiarfidshop.com/products?category=hf-rfid-desktop-reader" TargetMode="External"/><Relationship Id="rId15" Type="http://schemas.openxmlformats.org/officeDocument/2006/relationships/hyperlink" Target="https://indiarfidshop.com/products?category=rfid-lf-and-hf-pendrive-reader" TargetMode="External"/><Relationship Id="rId16" Type="http://schemas.openxmlformats.org/officeDocument/2006/relationships/hyperlink" Target="https://indiarfidshop.com/products/desktop-barcode-printer" TargetMode="External"/><Relationship Id="rId17" Type="http://schemas.openxmlformats.org/officeDocument/2006/relationships/hyperlink" Target="https://indiarfidshop.com/products/hrd-13" TargetMode="External"/><Relationship Id="rId18" Type="http://schemas.openxmlformats.org/officeDocument/2006/relationships/hyperlink" Target="https://indiarfidshop.com/products/lrp-70-pendrive-reader" TargetMode="External"/><Relationship Id="rId19" Type="http://schemas.openxmlformats.org/officeDocument/2006/relationships/hyperlink" Target="https://indiarfidshop.com/products/ua9" TargetMode="External"/><Relationship Id="rId20" Type="http://schemas.openxmlformats.org/officeDocument/2006/relationships/hyperlink" Target="https://indiarfidshop.com/products/uca3" TargetMode="External"/><Relationship Id="rId21" Type="http://schemas.openxmlformats.org/officeDocument/2006/relationships/hyperlink" Target="https://indiarfidshop.com/products/udr-w101-uhf-rfid-desktop-reader-writer" TargetMode="External"/><Relationship Id="rId22" Type="http://schemas.openxmlformats.org/officeDocument/2006/relationships/hyperlink" Target="https://indiarfidshop.com/products/udt9r-rfid-jewellery-tray-reader" TargetMode="External"/><Relationship Id="rId23" Type="http://schemas.openxmlformats.org/officeDocument/2006/relationships/hyperlink" Target="https://indiarfidshop.com/products/uhr2-uhf-rfid-handheld-reader" TargetMode="External"/><Relationship Id="rId24" Type="http://schemas.openxmlformats.org/officeDocument/2006/relationships/hyperlink" Target="https://indiarfidshop.com/products/vst-9662-rfid-uhf-inlay-higgs-3" TargetMode="External"/><Relationship Id="rId25" Type="http://schemas.openxmlformats.org/officeDocument/2006/relationships/hyperlink" Target="https://indiarfidshop.com/products/pbr3-bluetooth-uhf-rfid-portable-reader" TargetMode="External"/><Relationship Id="rId26" Type="http://schemas.openxmlformats.org/officeDocument/2006/relationships/hyperlink" Target="https://indiarfidshop.com/products/ua12" TargetMode="External"/><Relationship Id="rId27" Type="http://schemas.openxmlformats.org/officeDocument/2006/relationships/hyperlink" Target="https://indiarfidshop.com/products/uhr-5" TargetMode="External"/><Relationship Id="rId28" Type="http://schemas.openxmlformats.org/officeDocument/2006/relationships/hyperlink" Target="https://indiarfidshop.com/products/hrd-13" TargetMode="External"/><Relationship Id="rId29" Type="http://schemas.openxmlformats.org/officeDocument/2006/relationships/hyperlink" Target="https://indiarfidshop.com/products/ua9" TargetMode="External"/><Relationship Id="rId30" Type="http://schemas.openxmlformats.org/officeDocument/2006/relationships/hyperlink" Target="https://indiarfidshop.com/products/uca3" TargetMode="External"/><Relationship Id="rId31" Type="http://schemas.openxmlformats.org/officeDocument/2006/relationships/hyperlink" Target="https://indiarfidshop.com/products/lrp-70-pendrive-reader" TargetMode="External"/><Relationship Id="rId32" Type="http://schemas.openxmlformats.org/officeDocument/2006/relationships/hyperlink" Target="https://indiarfidshop.com/products/uhr-5" TargetMode="External"/><Relationship Id="rId33" Type="http://schemas.openxmlformats.org/officeDocument/2006/relationships/hyperlink" Target="https://indiarfidshop.com/products/udr-102" TargetMode="External"/><Relationship Id="rId34" Type="http://schemas.openxmlformats.org/officeDocument/2006/relationships/hyperlink" Target="https://indiarfidshop.com/products" TargetMode="External"/><Relationship Id="rId35" Type="http://schemas.openxmlformats.org/officeDocument/2006/relationships/hyperlink" Target="https://indiarfidshop.com/privacy" TargetMode="External"/><Relationship Id="rId36" Type="http://schemas.openxmlformats.org/officeDocument/2006/relationships/hyperlink" Target="https://indiarfidshop.com/terms" TargetMode="External"/><Relationship Id="rId37" Type="http://schemas.openxmlformats.org/officeDocument/2006/relationships/hyperlink" Target="https://indiarfidshop.com/products?category=raid-tags" TargetMode="External"/><Relationship Id="rId38" Type="http://schemas.openxmlformats.org/officeDocument/2006/relationships/hyperlink" Target="https://indiarfidshop.com/products?category=rfid-laundary-tags" TargetMode="External"/><Relationship Id="rId39" Type="http://schemas.openxmlformats.org/officeDocument/2006/relationships/hyperlink" Target="https://indiarfidshop.com/products/udr-w101-uhf-rfid-desktop-reader-writer" TargetMode="External"/><Relationship Id="rId40" Type="http://schemas.openxmlformats.org/officeDocument/2006/relationships/hyperlink" Target="https://indiarfidshop.com/products/udt9r-rfid-jewellery-tray-reader" TargetMode="External"/><Relationship Id="rId41" Type="http://schemas.openxmlformats.org/officeDocument/2006/relationships/hyperlink" Target="https://indiarfidshop.com/products/uhr2-uhf-rfid-handheld-reader" TargetMode="External"/><Relationship Id="rId42" Type="http://schemas.openxmlformats.org/officeDocument/2006/relationships/hyperlink" Target="https://indiarfidshop.com/products/vsl-f2-uhf-rfid-4-port-reader" TargetMode="External"/><Relationship Id="rId43" Type="http://schemas.openxmlformats.org/officeDocument/2006/relationships/hyperlink" Target="https://indiarfidshop.com/products/uhr-72" TargetMode="External"/><Relationship Id="rId44" Type="http://schemas.openxmlformats.org/officeDocument/2006/relationships/hyperlink" Target="https://indiarfidshop.com/products/udm9r-Integrated-reader" TargetMode="External"/><Relationship Id="rId45" Type="http://schemas.openxmlformats.org/officeDocument/2006/relationships/hyperlink" Target="https://indiarfidshop.com/products/udm12r-uhf-Integrated-reader" TargetMode="External"/><Relationship Id="rId46" Type="http://schemas.openxmlformats.org/officeDocument/2006/relationships/hyperlink" Target="https://indiarfidshop.com/products/udr-107" TargetMode="External"/><Relationship Id="rId47" Type="http://schemas.openxmlformats.org/officeDocument/2006/relationships/hyperlink" Target="https://indiarfidshop.com/products/hrp-70-pendrive-reader" TargetMode="External"/><Relationship Id="rId48" Type="http://schemas.openxmlformats.org/officeDocument/2006/relationships/hyperlink" Target="https://indiarfidshop.com/products/udr-102" TargetMode="External"/><Relationship Id="rId49" Type="http://schemas.openxmlformats.org/officeDocument/2006/relationships/hyperlink" Target="https://indiarfidshop.com/privacy" TargetMode="External"/><Relationship Id="rId50" Type="http://schemas.openxmlformats.org/officeDocument/2006/relationships/hyperlink" Target="https://indiarfidshop.com/terms" TargetMode="External"/><Relationship Id="rId51" Type="http://schemas.openxmlformats.org/officeDocument/2006/relationships/hyperlink" Target="https://indiarfidshop.com/categories" TargetMode="External"/><Relationship Id="rId52" Type="http://schemas.openxmlformats.org/officeDocument/2006/relationships/hyperlink" Target="https://indiarfidshop.com/about" TargetMode="External"/><Relationship Id="rId53" Type="http://schemas.openxmlformats.org/officeDocument/2006/relationships/hyperlink" Target="https://indiarfidshop.com/contact" TargetMode="External"/><Relationship Id="rId54" Type="http://schemas.openxmlformats.org/officeDocument/2006/relationships/hyperlink" Target="https://indiarfidshop.com/contact" TargetMode="External"/><Relationship Id="rId55" Type="http://schemas.openxmlformats.org/officeDocument/2006/relationships/hyperlink" Target="https://indiarfidshop.com/products/RFID-Cable-Tie-uhf-Tags" TargetMode="External"/><Relationship Id="rId56" Type="http://schemas.openxmlformats.org/officeDocument/2006/relationships/hyperlink" Target="https://indiarfidshop.com/products/RFID-silicon-tags-UHF-laundary-tags" TargetMode="External"/><Relationship Id="rId57" Type="http://schemas.openxmlformats.org/officeDocument/2006/relationships/hyperlink" Target="https://indiarfidshop.com/products/RFID-Ferric-100-Metal-UHF-Tags" TargetMode="External"/><Relationship Id="rId58" Type="http://schemas.openxmlformats.org/officeDocument/2006/relationships/hyperlink" Target="https://indiarfidshop.com/products/vsl-a1" TargetMode="External"/><Relationship Id="rId59" Type="http://schemas.openxmlformats.org/officeDocument/2006/relationships/hyperlink" Target="https://indiarfidshop.com/products/vst-9662-rfid-uhf-labels" TargetMode="External"/><Relationship Id="rId60" Type="http://schemas.openxmlformats.org/officeDocument/2006/relationships/hyperlink" Target="https://indiarfidshop.com/products/RFID-Laundry-Textile-Tags" TargetMode="External"/><Relationship Id="rId61" Type="http://schemas.openxmlformats.org/officeDocument/2006/relationships/hyperlink" Target="https://indiarfidshop.com/products/vst-9640-rfid-uhf-inlays" TargetMode="External"/><Relationship Id="rId62" Type="http://schemas.openxmlformats.org/officeDocument/2006/relationships/hyperlink" Target="https://indiarfidshop.com/products/dogbone-rfid-uhf-inlays" TargetMode="External"/><Relationship Id="rId63" Type="http://schemas.openxmlformats.org/officeDocument/2006/relationships/hyperlink" Target="https://indiarfidshop.com/products/ua12" TargetMode="External"/><Relationship Id="rId64" Type="http://schemas.openxmlformats.org/officeDocument/2006/relationships/hyperlink" Target="https://indiarfidshop.com/products/hrp-70-pendrive-reader" TargetMode="External"/><Relationship Id="rId65" Type="http://schemas.openxmlformats.org/officeDocument/2006/relationships/hyperlink" Target="https://indiarfidshop.com/products/uhr-72" TargetMode="External"/><Relationship Id="rId66" Type="http://schemas.openxmlformats.org/officeDocument/2006/relationships/hyperlink" Target="https://indiarfidshop.com/products/udm9r-Integrated-reader" TargetMode="External"/><Relationship Id="rId67" Type="http://schemas.openxmlformats.org/officeDocument/2006/relationships/hyperlink" Target="https://indiarfidshop.com/products/udm12r-uhf-Integrated-reader" TargetMode="External"/><Relationship Id="rId68" Type="http://schemas.openxmlformats.org/officeDocument/2006/relationships/hyperlink" Target="https://indiarfidshop.com/products/udr-107" TargetMode="External"/><Relationship Id="rId69" Type="http://schemas.openxmlformats.org/officeDocument/2006/relationships/hyperlink" Target="https://indiarfidshop.com/products/udr-w105-uhf-rfid-desktop-reader-writer" TargetMode="External"/><Relationship Id="rId70" Type="http://schemas.openxmlformats.org/officeDocument/2006/relationships/hyperlink" Target="https://indiarfidshop.com/products/RFID-silicon-tags-UHF-laundary-tags" TargetMode="External"/><Relationship Id="rId7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indiarfidshop.com/" TargetMode="External"/><Relationship Id="rId2" Type="http://schemas.openxmlformats.org/officeDocument/2006/relationships/hyperlink" Target="https://indiarfidshop.com/products" TargetMode="External"/><Relationship Id="rId3" Type="http://schemas.openxmlformats.org/officeDocument/2006/relationships/hyperlink" Target="https://indiarfidshop.com/categories" TargetMode="External"/><Relationship Id="rId4" Type="http://schemas.openxmlformats.org/officeDocument/2006/relationships/hyperlink" Target="https://indiarfidshop.com/about" TargetMode="External"/><Relationship Id="rId5" Type="http://schemas.openxmlformats.org/officeDocument/2006/relationships/hyperlink" Target="https://indiarfidshop.com/contact" TargetMode="External"/><Relationship Id="rId6" Type="http://schemas.openxmlformats.org/officeDocument/2006/relationships/hyperlink" Target="https://indiarfidshop.com/privacy" TargetMode="External"/><Relationship Id="rId7" Type="http://schemas.openxmlformats.org/officeDocument/2006/relationships/hyperlink" Target="https://indiarfidshop.com/terms" TargetMode="External"/><Relationship Id="rId8" Type="http://schemas.openxmlformats.org/officeDocument/2006/relationships/hyperlink" Target="https://indiarfidshop.com/products?category=barcode-printers" TargetMode="External"/><Relationship Id="rId9" Type="http://schemas.openxmlformats.org/officeDocument/2006/relationships/hyperlink" Target="https://indiarfidshop.com/products?category=integrated-reader" TargetMode="External"/><Relationship Id="rId10" Type="http://schemas.openxmlformats.org/officeDocument/2006/relationships/hyperlink" Target="https://indiarfidshop.com/products?category=four-port-reader" TargetMode="External"/><Relationship Id="rId11" Type="http://schemas.openxmlformats.org/officeDocument/2006/relationships/hyperlink" Target="https://indiarfidshop.com/products?category=raid-tags" TargetMode="External"/><Relationship Id="rId12" Type="http://schemas.openxmlformats.org/officeDocument/2006/relationships/hyperlink" Target="https://indiarfidshop.com/products?category=Rfid-uhf-label-tags" TargetMode="External"/><Relationship Id="rId13" Type="http://schemas.openxmlformats.org/officeDocument/2006/relationships/hyperlink" Target="https://indiarfidshop.com/products?category=rfid-laundary-tags" TargetMode="External"/><Relationship Id="rId14" Type="http://schemas.openxmlformats.org/officeDocument/2006/relationships/hyperlink" Target="https://indiarfidshop.com/products?category=rfid-uhf-inlay" TargetMode="External"/><Relationship Id="rId15" Type="http://schemas.openxmlformats.org/officeDocument/2006/relationships/hyperlink" Target="https://indiarfidshop.com/products?category=uhf-rfid-tags" TargetMode="External"/><Relationship Id="rId16" Type="http://schemas.openxmlformats.org/officeDocument/2006/relationships/hyperlink" Target="https://indiarfidshop.com/products?category=rfid-uhf-antenna" TargetMode="External"/><Relationship Id="rId17" Type="http://schemas.openxmlformats.org/officeDocument/2006/relationships/hyperlink" Target="https://indiarfidshop.com/products?category=handheld-reader" TargetMode="External"/><Relationship Id="rId18" Type="http://schemas.openxmlformats.org/officeDocument/2006/relationships/hyperlink" Target="https://indiarfidshop.com/products?category=uhf-desktop-reader" TargetMode="External"/><Relationship Id="rId19" Type="http://schemas.openxmlformats.org/officeDocument/2006/relationships/hyperlink" Target="https://indiarfidshop.com/products?category=hf-rfid-desktop-reader" TargetMode="External"/><Relationship Id="rId20" Type="http://schemas.openxmlformats.org/officeDocument/2006/relationships/hyperlink" Target="https://indiarfidshop.com/products?category=rfid-lf-and-hf-pendrive-reader" TargetMode="External"/><Relationship Id="rId21" Type="http://schemas.openxmlformats.org/officeDocument/2006/relationships/hyperlink" Target="https://indiarfidshop.com/products/desktop-barcode-printer" TargetMode="External"/><Relationship Id="rId22" Type="http://schemas.openxmlformats.org/officeDocument/2006/relationships/hyperlink" Target="https://indiarfidshop.com/products/hrd-13" TargetMode="External"/><Relationship Id="rId23" Type="http://schemas.openxmlformats.org/officeDocument/2006/relationships/hyperlink" Target="https://indiarfidshop.com/products/lrp-70-pendrive-reader" TargetMode="External"/><Relationship Id="rId24" Type="http://schemas.openxmlformats.org/officeDocument/2006/relationships/hyperlink" Target="https://indiarfidshop.com/products/ua9" TargetMode="External"/><Relationship Id="rId25" Type="http://schemas.openxmlformats.org/officeDocument/2006/relationships/hyperlink" Target="https://indiarfidshop.com/products/uca3" TargetMode="External"/><Relationship Id="rId26" Type="http://schemas.openxmlformats.org/officeDocument/2006/relationships/hyperlink" Target="https://indiarfidshop.com/products/udr-w105-uhf-rfid-desktop-reader-writer" TargetMode="External"/><Relationship Id="rId27" Type="http://schemas.openxmlformats.org/officeDocument/2006/relationships/hyperlink" Target="https://indiarfidshop.com/products/udr-w101-uhf-rfid-desktop-reader-writer" TargetMode="External"/><Relationship Id="rId28" Type="http://schemas.openxmlformats.org/officeDocument/2006/relationships/hyperlink" Target="https://indiarfidshop.com/products/udt9r-rfid-jewellery-tray-reader" TargetMode="External"/><Relationship Id="rId29" Type="http://schemas.openxmlformats.org/officeDocument/2006/relationships/hyperlink" Target="https://indiarfidshop.com/products/RFID-Cable-Tie-uhf-Tags" TargetMode="External"/><Relationship Id="rId30" Type="http://schemas.openxmlformats.org/officeDocument/2006/relationships/hyperlink" Target="https://indiarfidshop.com/products/RFID-silicon-tags-UHF-laundary-tags" TargetMode="External"/><Relationship Id="rId31" Type="http://schemas.openxmlformats.org/officeDocument/2006/relationships/hyperlink" Target="https://indiarfidshop.com/products/udm9r-Integrated-reader" TargetMode="External"/><Relationship Id="rId32" Type="http://schemas.openxmlformats.org/officeDocument/2006/relationships/hyperlink" Target="https://indiarfidshop.com/products/udr-102" TargetMode="External"/><Relationship Id="rId33" Type="http://schemas.openxmlformats.org/officeDocument/2006/relationships/hyperlink" Target="https://indiarfidshop.com/products/uhr-72" TargetMode="External"/><Relationship Id="rId34" Type="http://schemas.openxmlformats.org/officeDocument/2006/relationships/hyperlink" Target="https://indiarfidshop.com/products/uhr2-uhf-rfid-handheld-reader" TargetMode="External"/><Relationship Id="rId35" Type="http://schemas.openxmlformats.org/officeDocument/2006/relationships/hyperlink" Target="https://indiarfidshop.com/products/RFID-Ferric-100-Metal-UHF-Tags" TargetMode="External"/><Relationship Id="rId36" Type="http://schemas.openxmlformats.org/officeDocument/2006/relationships/hyperlink" Target="https://indiarfidshop.com/products/vsl-a1" TargetMode="External"/><Relationship Id="rId37" Type="http://schemas.openxmlformats.org/officeDocument/2006/relationships/hyperlink" Target="https://indiarfidshop.com/products/vsl-f2-uhf-rfid-4-port-reader" TargetMode="External"/><Relationship Id="rId38" Type="http://schemas.openxmlformats.org/officeDocument/2006/relationships/hyperlink" Target="https://indiarfidshop.com/products/vst-9662-rfid-uhf-inlay-higgs-3" TargetMode="External"/><Relationship Id="rId39" Type="http://schemas.openxmlformats.org/officeDocument/2006/relationships/hyperlink" Target="https://indiarfidshop.com/products/vst-9662-rfid-uhf-labels" TargetMode="External"/><Relationship Id="rId40" Type="http://schemas.openxmlformats.org/officeDocument/2006/relationships/hyperlink" Target="https://indiarfidshop.com/products/hrp-70-pendrive-reader" TargetMode="External"/><Relationship Id="rId41" Type="http://schemas.openxmlformats.org/officeDocument/2006/relationships/hyperlink" Target="https://indiarfidshop.com/products/pbr3-bluetooth-uhf-rfid-portable-reader" TargetMode="External"/><Relationship Id="rId42" Type="http://schemas.openxmlformats.org/officeDocument/2006/relationships/hyperlink" Target="https://indiarfidshop.com/products/RFID-Laundry-Textile-Tags" TargetMode="External"/><Relationship Id="rId43" Type="http://schemas.openxmlformats.org/officeDocument/2006/relationships/hyperlink" Target="https://indiarfidshop.com/products/ua12" TargetMode="External"/><Relationship Id="rId44" Type="http://schemas.openxmlformats.org/officeDocument/2006/relationships/hyperlink" Target="https://indiarfidshop.com/products/udm12r-uhf-Integrated-reader" TargetMode="External"/><Relationship Id="rId45" Type="http://schemas.openxmlformats.org/officeDocument/2006/relationships/hyperlink" Target="https://indiarfidshop.com/products/udr-107" TargetMode="External"/><Relationship Id="rId46" Type="http://schemas.openxmlformats.org/officeDocument/2006/relationships/hyperlink" Target="https://indiarfidshop.com/products/uhr-5" TargetMode="External"/><Relationship Id="rId47" Type="http://schemas.openxmlformats.org/officeDocument/2006/relationships/hyperlink" Target="https://indiarfidshop.com/products/vst-9640-rfid-uhf-inlays" TargetMode="External"/><Relationship Id="rId48" Type="http://schemas.openxmlformats.org/officeDocument/2006/relationships/hyperlink" Target="https://indiarfidshop.com/products/acs112u" TargetMode="External"/><Relationship Id="rId49" Type="http://schemas.openxmlformats.org/officeDocument/2006/relationships/hyperlink" Target="https://indiarfidshop.com/products/dogbone-rfid-uhf-inlays" TargetMode="External"/><Relationship Id="rId50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3" t="n">
        <f aca="false">COUNTA('All Pages'!C2:C50)</f>
        <v>49</v>
      </c>
    </row>
    <row r="6" customFormat="false" ht="15" hidden="false" customHeight="false" outlineLevel="0" collapsed="false">
      <c r="A6" s="4" t="s">
        <v>4</v>
      </c>
      <c r="B6" s="3" t="n">
        <f aca="false">COUNTBLANK('All Pages'!D2:D50)</f>
        <v>0</v>
      </c>
    </row>
    <row r="7" customFormat="false" ht="15" hidden="false" customHeight="false" outlineLevel="0" collapsed="false">
      <c r="A7" s="4" t="s">
        <v>5</v>
      </c>
      <c r="B7" s="3" t="n">
        <f aca="false">COUNTIF('All Pages'!K2:K50,"Needs fix")</f>
        <v>48</v>
      </c>
    </row>
    <row r="8" customFormat="false" ht="15" hidden="false" customHeight="false" outlineLevel="0" collapsed="false">
      <c r="A8" s="4" t="s">
        <v>6</v>
      </c>
      <c r="B8" s="3" t="n">
        <f aca="false">COUNTIF('All Pages'!F2:F50,"&gt;1")</f>
        <v>15</v>
      </c>
    </row>
    <row r="9" customFormat="false" ht="15" hidden="false" customHeight="false" outlineLevel="0" collapsed="false">
      <c r="A9" s="4" t="s">
        <v>7</v>
      </c>
      <c r="B9" s="3" t="n">
        <f aca="false">COUNTIF('All Pages'!H2:H50,"Duplicate")</f>
        <v>14</v>
      </c>
    </row>
    <row r="10" customFormat="false" ht="15" hidden="false" customHeight="false" outlineLevel="0" collapsed="false">
      <c r="A10" s="4" t="s">
        <v>8</v>
      </c>
      <c r="B10" s="3" t="n">
        <f aca="false">COUNTIF('All Pages'!G2:G50,"Too long")</f>
        <v>16</v>
      </c>
    </row>
    <row r="11" customFormat="false" ht="15" hidden="false" customHeight="false" outlineLevel="0" collapsed="false">
      <c r="A11" s="4" t="s">
        <v>9</v>
      </c>
      <c r="B11" s="3" t="n">
        <f aca="false">COUNTA(Issues!A2:A74)</f>
        <v>73</v>
      </c>
    </row>
    <row r="12" customFormat="false" ht="15" hidden="false" customHeight="false" outlineLevel="0" collapsed="false">
      <c r="A12" s="4" t="s">
        <v>10</v>
      </c>
      <c r="B12" s="3" t="n">
        <f aca="false">COUNTIFS(Issues!M2:M74,"&lt;&gt;Fixed",Issues!M2:M74,"&lt;&gt;Verified")</f>
        <v>73</v>
      </c>
    </row>
    <row r="14" customFormat="false" ht="15" hidden="false" customHeight="false" outlineLevel="0" collapsed="false">
      <c r="A14" s="5" t="s">
        <v>11</v>
      </c>
      <c r="B14" s="5" t="s">
        <v>12</v>
      </c>
      <c r="C14" s="5" t="s">
        <v>13</v>
      </c>
      <c r="D14" s="5" t="s">
        <v>14</v>
      </c>
      <c r="E14" s="5" t="s">
        <v>15</v>
      </c>
    </row>
    <row r="15" customFormat="false" ht="15" hidden="false" customHeight="false" outlineLevel="0" collapsed="false">
      <c r="A15" s="6" t="s">
        <v>16</v>
      </c>
      <c r="B15" s="6" t="n">
        <f aca="false">COUNTIF(Issues!$F$2:$F$74,A15)</f>
        <v>15</v>
      </c>
      <c r="C15" s="6" t="n">
        <f aca="false">COUNTIFS(Issues!$F$2:$F$74,$A15,Issues!$B$2:$B$74,"High")</f>
        <v>13</v>
      </c>
      <c r="D15" s="6" t="n">
        <f aca="false">COUNTIFS(Issues!$F$2:$F$74,$A15,Issues!$B$2:$B$74,"Medium")</f>
        <v>2</v>
      </c>
      <c r="E15" s="6" t="n">
        <f aca="false">COUNTIFS(Issues!$F$2:$F$74,$A15,Issues!$B$2:$B$74,"Low")</f>
        <v>0</v>
      </c>
    </row>
    <row r="16" customFormat="false" ht="15" hidden="false" customHeight="false" outlineLevel="0" collapsed="false">
      <c r="A16" s="6" t="s">
        <v>17</v>
      </c>
      <c r="B16" s="6" t="n">
        <f aca="false">COUNTIF(Issues!$F$2:$F$74,A16)</f>
        <v>5</v>
      </c>
      <c r="C16" s="6" t="n">
        <f aca="false">COUNTIFS(Issues!$F$2:$F$74,$A16,Issues!$B$2:$B$74,"High")</f>
        <v>1</v>
      </c>
      <c r="D16" s="6" t="n">
        <f aca="false">COUNTIFS(Issues!$F$2:$F$74,$A16,Issues!$B$2:$B$74,"Medium")</f>
        <v>1</v>
      </c>
      <c r="E16" s="6" t="n">
        <f aca="false">COUNTIFS(Issues!$F$2:$F$74,$A16,Issues!$B$2:$B$74,"Low")</f>
        <v>3</v>
      </c>
    </row>
    <row r="17" customFormat="false" ht="15" hidden="false" customHeight="false" outlineLevel="0" collapsed="false">
      <c r="A17" s="6" t="s">
        <v>18</v>
      </c>
      <c r="B17" s="6" t="n">
        <f aca="false">COUNTIF(Issues!$F$2:$F$74,A17)</f>
        <v>13</v>
      </c>
      <c r="C17" s="6" t="n">
        <f aca="false">COUNTIFS(Issues!$F$2:$F$74,$A17,Issues!$B$2:$B$74,"High")</f>
        <v>13</v>
      </c>
      <c r="D17" s="6" t="n">
        <f aca="false">COUNTIFS(Issues!$F$2:$F$74,$A17,Issues!$B$2:$B$74,"Medium")</f>
        <v>0</v>
      </c>
      <c r="E17" s="6" t="n">
        <f aca="false">COUNTIFS(Issues!$F$2:$F$74,$A17,Issues!$B$2:$B$74,"Low")</f>
        <v>0</v>
      </c>
    </row>
    <row r="18" customFormat="false" ht="15" hidden="false" customHeight="false" outlineLevel="0" collapsed="false">
      <c r="A18" s="6" t="s">
        <v>19</v>
      </c>
      <c r="B18" s="6" t="n">
        <f aca="false">COUNTIF(Issues!$F$2:$F$74,A18)</f>
        <v>4</v>
      </c>
      <c r="C18" s="6" t="n">
        <f aca="false">COUNTIFS(Issues!$F$2:$F$74,$A18,Issues!$B$2:$B$74,"High")</f>
        <v>4</v>
      </c>
      <c r="D18" s="6" t="n">
        <f aca="false">COUNTIFS(Issues!$F$2:$F$74,$A18,Issues!$B$2:$B$74,"Medium")</f>
        <v>0</v>
      </c>
      <c r="E18" s="6" t="n">
        <f aca="false">COUNTIFS(Issues!$F$2:$F$74,$A18,Issues!$B$2:$B$74,"Low")</f>
        <v>0</v>
      </c>
    </row>
    <row r="19" customFormat="false" ht="15" hidden="false" customHeight="false" outlineLevel="0" collapsed="false">
      <c r="A19" s="6" t="s">
        <v>20</v>
      </c>
      <c r="B19" s="6" t="n">
        <f aca="false">COUNTIF(Issues!$F$2:$F$74,A19)</f>
        <v>1</v>
      </c>
      <c r="C19" s="6" t="n">
        <f aca="false">COUNTIFS(Issues!$F$2:$F$74,$A19,Issues!$B$2:$B$74,"High")</f>
        <v>1</v>
      </c>
      <c r="D19" s="6" t="n">
        <f aca="false">COUNTIFS(Issues!$F$2:$F$74,$A19,Issues!$B$2:$B$74,"Medium")</f>
        <v>0</v>
      </c>
      <c r="E19" s="6" t="n">
        <f aca="false">COUNTIFS(Issues!$F$2:$F$74,$A19,Issues!$B$2:$B$74,"Low")</f>
        <v>0</v>
      </c>
    </row>
    <row r="20" customFormat="false" ht="15" hidden="false" customHeight="false" outlineLevel="0" collapsed="false">
      <c r="A20" s="6" t="s">
        <v>21</v>
      </c>
      <c r="B20" s="6" t="n">
        <f aca="false">COUNTIF(Issues!$F$2:$F$74,A20)</f>
        <v>1</v>
      </c>
      <c r="C20" s="6" t="n">
        <f aca="false">COUNTIFS(Issues!$F$2:$F$74,$A20,Issues!$B$2:$B$74,"High")</f>
        <v>1</v>
      </c>
      <c r="D20" s="6" t="n">
        <f aca="false">COUNTIFS(Issues!$F$2:$F$74,$A20,Issues!$B$2:$B$74,"Medium")</f>
        <v>0</v>
      </c>
      <c r="E20" s="6" t="n">
        <f aca="false">COUNTIFS(Issues!$F$2:$F$74,$A20,Issues!$B$2:$B$74,"Low")</f>
        <v>0</v>
      </c>
    </row>
    <row r="21" customFormat="false" ht="15" hidden="false" customHeight="false" outlineLevel="0" collapsed="false">
      <c r="A21" s="6" t="s">
        <v>22</v>
      </c>
      <c r="B21" s="6" t="n">
        <f aca="false">COUNTIF(Issues!$F$2:$F$74,A21)</f>
        <v>1</v>
      </c>
      <c r="C21" s="6" t="n">
        <f aca="false">COUNTIFS(Issues!$F$2:$F$74,$A21,Issues!$B$2:$B$74,"High")</f>
        <v>1</v>
      </c>
      <c r="D21" s="6" t="n">
        <f aca="false">COUNTIFS(Issues!$F$2:$F$74,$A21,Issues!$B$2:$B$74,"Medium")</f>
        <v>0</v>
      </c>
      <c r="E21" s="6" t="n">
        <f aca="false">COUNTIFS(Issues!$F$2:$F$74,$A21,Issues!$B$2:$B$74,"Low")</f>
        <v>0</v>
      </c>
    </row>
    <row r="22" customFormat="false" ht="15" hidden="false" customHeight="false" outlineLevel="0" collapsed="false">
      <c r="A22" s="6" t="s">
        <v>23</v>
      </c>
      <c r="B22" s="6" t="n">
        <f aca="false">COUNTIF(Issues!$F$2:$F$74,A22)</f>
        <v>2</v>
      </c>
      <c r="C22" s="6" t="n">
        <f aca="false">COUNTIFS(Issues!$F$2:$F$74,$A22,Issues!$B$2:$B$74,"High")</f>
        <v>0</v>
      </c>
      <c r="D22" s="6" t="n">
        <f aca="false">COUNTIFS(Issues!$F$2:$F$74,$A22,Issues!$B$2:$B$74,"Medium")</f>
        <v>2</v>
      </c>
      <c r="E22" s="6" t="n">
        <f aca="false">COUNTIFS(Issues!$F$2:$F$74,$A22,Issues!$B$2:$B$74,"Low")</f>
        <v>0</v>
      </c>
    </row>
    <row r="23" customFormat="false" ht="15" hidden="false" customHeight="false" outlineLevel="0" collapsed="false">
      <c r="A23" s="6" t="s">
        <v>24</v>
      </c>
      <c r="B23" s="6" t="n">
        <f aca="false">COUNTIF(Issues!$F$2:$F$74,A23)</f>
        <v>4</v>
      </c>
      <c r="C23" s="6" t="n">
        <f aca="false">COUNTIFS(Issues!$F$2:$F$74,$A23,Issues!$B$2:$B$74,"High")</f>
        <v>0</v>
      </c>
      <c r="D23" s="6" t="n">
        <f aca="false">COUNTIFS(Issues!$F$2:$F$74,$A23,Issues!$B$2:$B$74,"Medium")</f>
        <v>4</v>
      </c>
      <c r="E23" s="6" t="n">
        <f aca="false">COUNTIFS(Issues!$F$2:$F$74,$A23,Issues!$B$2:$B$74,"Low")</f>
        <v>0</v>
      </c>
    </row>
    <row r="24" customFormat="false" ht="15" hidden="false" customHeight="false" outlineLevel="0" collapsed="false">
      <c r="A24" s="6" t="s">
        <v>25</v>
      </c>
      <c r="B24" s="6" t="n">
        <f aca="false">COUNTIF(Issues!$F$2:$F$74,A24)</f>
        <v>6</v>
      </c>
      <c r="C24" s="6" t="n">
        <f aca="false">COUNTIFS(Issues!$F$2:$F$74,$A24,Issues!$B$2:$B$74,"High")</f>
        <v>0</v>
      </c>
      <c r="D24" s="6" t="n">
        <f aca="false">COUNTIFS(Issues!$F$2:$F$74,$A24,Issues!$B$2:$B$74,"Medium")</f>
        <v>6</v>
      </c>
      <c r="E24" s="6" t="n">
        <f aca="false">COUNTIFS(Issues!$F$2:$F$74,$A24,Issues!$B$2:$B$74,"Low")</f>
        <v>0</v>
      </c>
    </row>
    <row r="25" customFormat="false" ht="15" hidden="false" customHeight="false" outlineLevel="0" collapsed="false">
      <c r="A25" s="6" t="s">
        <v>26</v>
      </c>
      <c r="B25" s="6" t="n">
        <f aca="false">COUNTIF(Issues!$F$2:$F$74,A25)</f>
        <v>1</v>
      </c>
      <c r="C25" s="6" t="n">
        <f aca="false">COUNTIFS(Issues!$F$2:$F$74,$A25,Issues!$B$2:$B$74,"High")</f>
        <v>0</v>
      </c>
      <c r="D25" s="6" t="n">
        <f aca="false">COUNTIFS(Issues!$F$2:$F$74,$A25,Issues!$B$2:$B$74,"Medium")</f>
        <v>1</v>
      </c>
      <c r="E25" s="6" t="n">
        <f aca="false">COUNTIFS(Issues!$F$2:$F$74,$A25,Issues!$B$2:$B$74,"Low")</f>
        <v>0</v>
      </c>
    </row>
    <row r="26" customFormat="false" ht="15" hidden="false" customHeight="false" outlineLevel="0" collapsed="false">
      <c r="A26" s="6" t="s">
        <v>27</v>
      </c>
      <c r="B26" s="6" t="n">
        <f aca="false">COUNTIF(Issues!$F$2:$F$74,A26)</f>
        <v>1</v>
      </c>
      <c r="C26" s="6" t="n">
        <f aca="false">COUNTIFS(Issues!$F$2:$F$74,$A26,Issues!$B$2:$B$74,"High")</f>
        <v>0</v>
      </c>
      <c r="D26" s="6" t="n">
        <f aca="false">COUNTIFS(Issues!$F$2:$F$74,$A26,Issues!$B$2:$B$74,"Medium")</f>
        <v>1</v>
      </c>
      <c r="E26" s="6" t="n">
        <f aca="false">COUNTIFS(Issues!$F$2:$F$74,$A26,Issues!$B$2:$B$74,"Low")</f>
        <v>0</v>
      </c>
    </row>
    <row r="27" customFormat="false" ht="15" hidden="false" customHeight="false" outlineLevel="0" collapsed="false">
      <c r="A27" s="6" t="s">
        <v>28</v>
      </c>
      <c r="B27" s="6" t="n">
        <f aca="false">COUNTIF(Issues!$F$2:$F$74,A27)</f>
        <v>2</v>
      </c>
      <c r="C27" s="6" t="n">
        <f aca="false">COUNTIFS(Issues!$F$2:$F$74,$A27,Issues!$B$2:$B$74,"High")</f>
        <v>0</v>
      </c>
      <c r="D27" s="6" t="n">
        <f aca="false">COUNTIFS(Issues!$F$2:$F$74,$A27,Issues!$B$2:$B$74,"Medium")</f>
        <v>2</v>
      </c>
      <c r="E27" s="6" t="n">
        <f aca="false">COUNTIFS(Issues!$F$2:$F$74,$A27,Issues!$B$2:$B$74,"Low")</f>
        <v>0</v>
      </c>
    </row>
    <row r="28" customFormat="false" ht="15" hidden="false" customHeight="false" outlineLevel="0" collapsed="false">
      <c r="A28" s="6" t="s">
        <v>29</v>
      </c>
      <c r="B28" s="6" t="n">
        <f aca="false">COUNTIF(Issues!$F$2:$F$74,A28)</f>
        <v>1</v>
      </c>
      <c r="C28" s="6" t="n">
        <f aca="false">COUNTIFS(Issues!$F$2:$F$74,$A28,Issues!$B$2:$B$74,"High")</f>
        <v>0</v>
      </c>
      <c r="D28" s="6" t="n">
        <f aca="false">COUNTIFS(Issues!$F$2:$F$74,$A28,Issues!$B$2:$B$74,"Medium")</f>
        <v>0</v>
      </c>
      <c r="E28" s="6" t="n">
        <f aca="false">COUNTIFS(Issues!$F$2:$F$74,$A28,Issues!$B$2:$B$74,"Low")</f>
        <v>1</v>
      </c>
    </row>
    <row r="29" customFormat="false" ht="15" hidden="false" customHeight="false" outlineLevel="0" collapsed="false">
      <c r="A29" s="6" t="s">
        <v>30</v>
      </c>
      <c r="B29" s="6" t="n">
        <f aca="false">COUNTIF(Issues!$F$2:$F$74,A29)</f>
        <v>9</v>
      </c>
      <c r="C29" s="6" t="n">
        <f aca="false">COUNTIFS(Issues!$F$2:$F$74,$A29,Issues!$B$2:$B$74,"High")</f>
        <v>0</v>
      </c>
      <c r="D29" s="6" t="n">
        <f aca="false">COUNTIFS(Issues!$F$2:$F$74,$A29,Issues!$B$2:$B$74,"Medium")</f>
        <v>0</v>
      </c>
      <c r="E29" s="6" t="n">
        <f aca="false">COUNTIFS(Issues!$F$2:$F$74,$A29,Issues!$B$2:$B$74,"Low")</f>
        <v>9</v>
      </c>
    </row>
    <row r="30" customFormat="false" ht="15" hidden="false" customHeight="false" outlineLevel="0" collapsed="false">
      <c r="A30" s="6" t="s">
        <v>31</v>
      </c>
      <c r="B30" s="6" t="n">
        <f aca="false">COUNTIF(Issues!$F$2:$F$74,A30)</f>
        <v>5</v>
      </c>
      <c r="C30" s="6" t="n">
        <f aca="false">COUNTIFS(Issues!$F$2:$F$74,$A30,Issues!$B$2:$B$74,"High")</f>
        <v>0</v>
      </c>
      <c r="D30" s="6" t="n">
        <f aca="false">COUNTIFS(Issues!$F$2:$F$74,$A30,Issues!$B$2:$B$74,"Medium")</f>
        <v>0</v>
      </c>
      <c r="E30" s="6" t="n">
        <f aca="false">COUNTIFS(Issues!$F$2:$F$74,$A30,Issues!$B$2:$B$74,"Low")</f>
        <v>5</v>
      </c>
    </row>
    <row r="31" customFormat="false" ht="15" hidden="false" customHeight="false" outlineLevel="0" collapsed="false">
      <c r="A31" s="6" t="s">
        <v>32</v>
      </c>
      <c r="B31" s="6" t="n">
        <f aca="false">COUNTIF(Issues!$F$2:$F$74,A31)</f>
        <v>2</v>
      </c>
      <c r="C31" s="6" t="n">
        <f aca="false">COUNTIFS(Issues!$F$2:$F$74,$A31,Issues!$B$2:$B$74,"High")</f>
        <v>0</v>
      </c>
      <c r="D31" s="6" t="n">
        <f aca="false">COUNTIFS(Issues!$F$2:$F$74,$A31,Issues!$B$2:$B$74,"Medium")</f>
        <v>0</v>
      </c>
      <c r="E31" s="6" t="n">
        <f aca="false">COUNTIFS(Issues!$F$2:$F$74,$A31,Issues!$B$2:$B$74,"Low")</f>
        <v>2</v>
      </c>
    </row>
    <row r="32" customFormat="false" ht="15" hidden="false" customHeight="false" outlineLevel="0" collapsed="false">
      <c r="A32" s="7" t="s">
        <v>12</v>
      </c>
      <c r="B32" s="7" t="n">
        <f aca="false">SUM(B15:B31)</f>
        <v>73</v>
      </c>
      <c r="C32" s="7" t="n">
        <f aca="false">SUM(C15:C31)</f>
        <v>34</v>
      </c>
      <c r="D32" s="7" t="n">
        <f aca="false">SUM(D15:D31)</f>
        <v>19</v>
      </c>
      <c r="E32" s="7" t="n">
        <f aca="false">SUM(E15:E31)</f>
        <v>20</v>
      </c>
    </row>
    <row r="34" customFormat="false" ht="15" hidden="false" customHeight="false" outlineLevel="0" collapsed="false">
      <c r="A34" s="3" t="s">
        <v>33</v>
      </c>
    </row>
    <row r="35" customFormat="false" ht="27.75" hidden="false" customHeight="true" outlineLevel="0" collapsed="false">
      <c r="A35" s="8" t="s">
        <v>34</v>
      </c>
      <c r="B35" s="8"/>
      <c r="C35" s="8"/>
      <c r="D35" s="8"/>
      <c r="E35" s="8"/>
    </row>
    <row r="36" customFormat="false" ht="27.75" hidden="false" customHeight="true" outlineLevel="0" collapsed="false">
      <c r="A36" s="8" t="s">
        <v>35</v>
      </c>
      <c r="B36" s="8"/>
      <c r="C36" s="8"/>
      <c r="D36" s="8"/>
      <c r="E36" s="8"/>
    </row>
    <row r="37" customFormat="false" ht="27.75" hidden="false" customHeight="true" outlineLevel="0" collapsed="false">
      <c r="A37" s="8" t="s">
        <v>36</v>
      </c>
      <c r="B37" s="8"/>
      <c r="C37" s="8"/>
      <c r="D37" s="8"/>
      <c r="E37" s="8"/>
    </row>
    <row r="38" customFormat="false" ht="27.75" hidden="false" customHeight="true" outlineLevel="0" collapsed="false">
      <c r="A38" s="8" t="s">
        <v>37</v>
      </c>
      <c r="B38" s="8"/>
      <c r="C38" s="8"/>
      <c r="D38" s="8"/>
      <c r="E38" s="8"/>
    </row>
    <row r="39" customFormat="false" ht="27.75" hidden="false" customHeight="true" outlineLevel="0" collapsed="false">
      <c r="A39" s="8" t="s">
        <v>38</v>
      </c>
      <c r="B39" s="8"/>
      <c r="C39" s="8"/>
      <c r="D39" s="8"/>
      <c r="E39" s="8"/>
    </row>
    <row r="40" customFormat="false" ht="27.75" hidden="false" customHeight="true" outlineLevel="0" collapsed="false">
      <c r="A40" s="8" t="s">
        <v>39</v>
      </c>
      <c r="B40" s="8"/>
      <c r="C40" s="8"/>
      <c r="D40" s="8"/>
      <c r="E40" s="8"/>
    </row>
  </sheetData>
  <mergeCells count="6">
    <mergeCell ref="A35:E35"/>
    <mergeCell ref="A36:E36"/>
    <mergeCell ref="A37:E37"/>
    <mergeCell ref="A38:E38"/>
    <mergeCell ref="A39:E39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44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48"/>
    <col collapsed="false" customWidth="true" hidden="false" outlineLevel="0" max="9" min="9" style="0" width="70"/>
    <col collapsed="false" customWidth="true" hidden="false" outlineLevel="0" max="10" min="10" style="0" width="42"/>
    <col collapsed="false" customWidth="true" hidden="false" outlineLevel="0" max="11" min="11" style="0" width="46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24"/>
  </cols>
  <sheetData>
    <row r="1" customFormat="false" ht="35.05" hidden="false" customHeight="false" outlineLevel="0" collapsed="false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</row>
    <row r="2" customFormat="false" ht="57.45" hidden="false" customHeight="false" outlineLevel="0" collapsed="false">
      <c r="A2" s="10" t="s">
        <v>55</v>
      </c>
      <c r="B2" s="10" t="s">
        <v>13</v>
      </c>
      <c r="C2" s="10" t="s">
        <v>56</v>
      </c>
      <c r="D2" s="10" t="s">
        <v>57</v>
      </c>
      <c r="E2" s="11" t="s">
        <v>58</v>
      </c>
      <c r="F2" s="10" t="s">
        <v>16</v>
      </c>
      <c r="G2" s="10" t="s">
        <v>59</v>
      </c>
      <c r="H2" s="10" t="s">
        <v>60</v>
      </c>
      <c r="I2" s="10" t="s">
        <v>61</v>
      </c>
      <c r="J2" s="10" t="s">
        <v>62</v>
      </c>
      <c r="K2" s="10" t="str">
        <f aca="false">J2</f>
        <v>RFID Readers, Tags &amp; Antennas in India | Virtualsphere</v>
      </c>
      <c r="L2" s="12" t="n">
        <f aca="false">IF(K2="","",LEN(K2))</f>
        <v>54</v>
      </c>
      <c r="M2" s="13" t="s">
        <v>63</v>
      </c>
      <c r="N2" s="13"/>
      <c r="O2" s="13"/>
    </row>
    <row r="3" customFormat="false" ht="35.05" hidden="false" customHeight="false" outlineLevel="0" collapsed="false">
      <c r="A3" s="10" t="s">
        <v>64</v>
      </c>
      <c r="B3" s="10" t="s">
        <v>13</v>
      </c>
      <c r="C3" s="10" t="s">
        <v>56</v>
      </c>
      <c r="D3" s="10" t="s">
        <v>57</v>
      </c>
      <c r="E3" s="11" t="s">
        <v>58</v>
      </c>
      <c r="F3" s="10" t="s">
        <v>17</v>
      </c>
      <c r="G3" s="10" t="s">
        <v>59</v>
      </c>
      <c r="H3" s="10" t="s">
        <v>65</v>
      </c>
      <c r="I3" s="10" t="s">
        <v>66</v>
      </c>
      <c r="J3" s="10" t="s">
        <v>62</v>
      </c>
      <c r="K3" s="10" t="str">
        <f aca="false">J3</f>
        <v>RFID Readers, Tags &amp; Antennas in India | Virtualsphere</v>
      </c>
      <c r="L3" s="12" t="n">
        <f aca="false">IF(K3="","",LEN(K3))</f>
        <v>54</v>
      </c>
      <c r="M3" s="13" t="s">
        <v>63</v>
      </c>
      <c r="N3" s="13"/>
      <c r="O3" s="13"/>
    </row>
    <row r="4" customFormat="false" ht="68.65" hidden="false" customHeight="false" outlineLevel="0" collapsed="false">
      <c r="A4" s="10" t="s">
        <v>67</v>
      </c>
      <c r="B4" s="10" t="s">
        <v>13</v>
      </c>
      <c r="C4" s="10" t="s">
        <v>68</v>
      </c>
      <c r="D4" s="10" t="s">
        <v>69</v>
      </c>
      <c r="E4" s="11" t="s">
        <v>70</v>
      </c>
      <c r="F4" s="10" t="s">
        <v>18</v>
      </c>
      <c r="G4" s="10" t="s">
        <v>71</v>
      </c>
      <c r="H4" s="10" t="s">
        <v>72</v>
      </c>
      <c r="I4" s="10" t="s">
        <v>73</v>
      </c>
      <c r="J4" s="10" t="s">
        <v>69</v>
      </c>
      <c r="K4" s="10" t="str">
        <f aca="false">J4&amp;" | Virtualsphere"</f>
        <v>Barcode Printers | Virtualsphere</v>
      </c>
      <c r="L4" s="12" t="n">
        <f aca="false">IF(K4="","",LEN(K4))</f>
        <v>32</v>
      </c>
      <c r="M4" s="13" t="s">
        <v>63</v>
      </c>
      <c r="N4" s="13"/>
      <c r="O4" s="13"/>
    </row>
    <row r="5" customFormat="false" ht="68.65" hidden="false" customHeight="false" outlineLevel="0" collapsed="false">
      <c r="A5" s="10" t="s">
        <v>74</v>
      </c>
      <c r="B5" s="10" t="s">
        <v>13</v>
      </c>
      <c r="C5" s="10" t="s">
        <v>68</v>
      </c>
      <c r="D5" s="10" t="s">
        <v>75</v>
      </c>
      <c r="E5" s="11" t="s">
        <v>76</v>
      </c>
      <c r="F5" s="10" t="s">
        <v>18</v>
      </c>
      <c r="G5" s="10" t="s">
        <v>71</v>
      </c>
      <c r="H5" s="10" t="s">
        <v>77</v>
      </c>
      <c r="I5" s="10" t="s">
        <v>73</v>
      </c>
      <c r="J5" s="10" t="s">
        <v>78</v>
      </c>
      <c r="K5" s="10" t="str">
        <f aca="false">J5&amp;" | Virtualsphere"</f>
        <v>UHF Integrated RFID Readers | Virtualsphere</v>
      </c>
      <c r="L5" s="12" t="n">
        <f aca="false">IF(K5="","",LEN(K5))</f>
        <v>43</v>
      </c>
      <c r="M5" s="13" t="s">
        <v>63</v>
      </c>
      <c r="N5" s="13"/>
      <c r="O5" s="13"/>
    </row>
    <row r="6" customFormat="false" ht="68.65" hidden="false" customHeight="false" outlineLevel="0" collapsed="false">
      <c r="A6" s="10" t="s">
        <v>79</v>
      </c>
      <c r="B6" s="10" t="s">
        <v>13</v>
      </c>
      <c r="C6" s="10" t="s">
        <v>68</v>
      </c>
      <c r="D6" s="10" t="s">
        <v>80</v>
      </c>
      <c r="E6" s="11" t="s">
        <v>81</v>
      </c>
      <c r="F6" s="10" t="s">
        <v>18</v>
      </c>
      <c r="G6" s="10" t="s">
        <v>71</v>
      </c>
      <c r="H6" s="10" t="s">
        <v>82</v>
      </c>
      <c r="I6" s="10" t="s">
        <v>73</v>
      </c>
      <c r="J6" s="10" t="s">
        <v>83</v>
      </c>
      <c r="K6" s="10" t="str">
        <f aca="false">J6&amp;" | Virtualsphere"</f>
        <v>4-Port UHF RFID Fixed Readers | Virtualsphere</v>
      </c>
      <c r="L6" s="12" t="n">
        <f aca="false">IF(K6="","",LEN(K6))</f>
        <v>45</v>
      </c>
      <c r="M6" s="13" t="s">
        <v>63</v>
      </c>
      <c r="N6" s="13"/>
      <c r="O6" s="13"/>
    </row>
    <row r="7" customFormat="false" ht="68.65" hidden="false" customHeight="false" outlineLevel="0" collapsed="false">
      <c r="A7" s="10" t="s">
        <v>84</v>
      </c>
      <c r="B7" s="10" t="s">
        <v>13</v>
      </c>
      <c r="C7" s="10" t="s">
        <v>68</v>
      </c>
      <c r="D7" s="10" t="s">
        <v>85</v>
      </c>
      <c r="E7" s="11" t="s">
        <v>86</v>
      </c>
      <c r="F7" s="10" t="s">
        <v>18</v>
      </c>
      <c r="G7" s="10" t="s">
        <v>71</v>
      </c>
      <c r="H7" s="10" t="s">
        <v>87</v>
      </c>
      <c r="I7" s="10" t="s">
        <v>73</v>
      </c>
      <c r="J7" s="10" t="s">
        <v>88</v>
      </c>
      <c r="K7" s="10" t="str">
        <f aca="false">J7&amp;" | Virtualsphere"</f>
        <v>RFID Tags – UHF, HF &amp; On-Metal | Virtualsphere</v>
      </c>
      <c r="L7" s="12" t="n">
        <f aca="false">IF(K7="","",LEN(K7))</f>
        <v>46</v>
      </c>
      <c r="M7" s="13" t="s">
        <v>63</v>
      </c>
      <c r="N7" s="13"/>
      <c r="O7" s="13"/>
    </row>
    <row r="8" customFormat="false" ht="68.65" hidden="false" customHeight="false" outlineLevel="0" collapsed="false">
      <c r="A8" s="10" t="s">
        <v>89</v>
      </c>
      <c r="B8" s="10" t="s">
        <v>13</v>
      </c>
      <c r="C8" s="10" t="s">
        <v>68</v>
      </c>
      <c r="D8" s="10" t="s">
        <v>90</v>
      </c>
      <c r="E8" s="11" t="s">
        <v>91</v>
      </c>
      <c r="F8" s="10" t="s">
        <v>18</v>
      </c>
      <c r="G8" s="10" t="s">
        <v>71</v>
      </c>
      <c r="H8" s="10" t="s">
        <v>92</v>
      </c>
      <c r="I8" s="10" t="s">
        <v>73</v>
      </c>
      <c r="J8" s="10" t="s">
        <v>93</v>
      </c>
      <c r="K8" s="10" t="str">
        <f aca="false">J8&amp;" | Virtualsphere"</f>
        <v>UHF RFID Labels | Virtualsphere</v>
      </c>
      <c r="L8" s="12" t="n">
        <f aca="false">IF(K8="","",LEN(K8))</f>
        <v>31</v>
      </c>
      <c r="M8" s="13" t="s">
        <v>63</v>
      </c>
      <c r="N8" s="13"/>
      <c r="O8" s="13"/>
    </row>
    <row r="9" customFormat="false" ht="68.65" hidden="false" customHeight="false" outlineLevel="0" collapsed="false">
      <c r="A9" s="10" t="s">
        <v>94</v>
      </c>
      <c r="B9" s="10" t="s">
        <v>13</v>
      </c>
      <c r="C9" s="10" t="s">
        <v>68</v>
      </c>
      <c r="D9" s="10" t="s">
        <v>95</v>
      </c>
      <c r="E9" s="11" t="s">
        <v>96</v>
      </c>
      <c r="F9" s="10" t="s">
        <v>18</v>
      </c>
      <c r="G9" s="10" t="s">
        <v>71</v>
      </c>
      <c r="H9" s="10" t="s">
        <v>97</v>
      </c>
      <c r="I9" s="10" t="s">
        <v>73</v>
      </c>
      <c r="J9" s="10" t="s">
        <v>95</v>
      </c>
      <c r="K9" s="10" t="str">
        <f aca="false">J9&amp;" | Virtualsphere"</f>
        <v>RFID Laundry Tags | Virtualsphere</v>
      </c>
      <c r="L9" s="12" t="n">
        <f aca="false">IF(K9="","",LEN(K9))</f>
        <v>33</v>
      </c>
      <c r="M9" s="13" t="s">
        <v>63</v>
      </c>
      <c r="N9" s="13"/>
      <c r="O9" s="13"/>
    </row>
    <row r="10" customFormat="false" ht="68.65" hidden="false" customHeight="false" outlineLevel="0" collapsed="false">
      <c r="A10" s="10" t="s">
        <v>98</v>
      </c>
      <c r="B10" s="10" t="s">
        <v>13</v>
      </c>
      <c r="C10" s="10" t="s">
        <v>68</v>
      </c>
      <c r="D10" s="10" t="s">
        <v>99</v>
      </c>
      <c r="E10" s="11" t="s">
        <v>100</v>
      </c>
      <c r="F10" s="10" t="s">
        <v>18</v>
      </c>
      <c r="G10" s="10" t="s">
        <v>71</v>
      </c>
      <c r="H10" s="10" t="s">
        <v>101</v>
      </c>
      <c r="I10" s="10" t="s">
        <v>73</v>
      </c>
      <c r="J10" s="10" t="s">
        <v>102</v>
      </c>
      <c r="K10" s="10" t="str">
        <f aca="false">J10&amp;" | Virtualsphere"</f>
        <v>UHF RFID Inlays – Dry &amp; Wet | Virtualsphere</v>
      </c>
      <c r="L10" s="12" t="n">
        <f aca="false">IF(K10="","",LEN(K10))</f>
        <v>43</v>
      </c>
      <c r="M10" s="13" t="s">
        <v>63</v>
      </c>
      <c r="N10" s="13"/>
      <c r="O10" s="13"/>
    </row>
    <row r="11" customFormat="false" ht="68.65" hidden="false" customHeight="false" outlineLevel="0" collapsed="false">
      <c r="A11" s="10" t="s">
        <v>103</v>
      </c>
      <c r="B11" s="10" t="s">
        <v>13</v>
      </c>
      <c r="C11" s="10" t="s">
        <v>68</v>
      </c>
      <c r="D11" s="10" t="s">
        <v>104</v>
      </c>
      <c r="E11" s="11" t="s">
        <v>105</v>
      </c>
      <c r="F11" s="10" t="s">
        <v>18</v>
      </c>
      <c r="G11" s="10" t="s">
        <v>71</v>
      </c>
      <c r="H11" s="10" t="s">
        <v>106</v>
      </c>
      <c r="I11" s="10" t="s">
        <v>73</v>
      </c>
      <c r="J11" s="10" t="s">
        <v>107</v>
      </c>
      <c r="K11" s="10" t="str">
        <f aca="false">J11&amp;" | Virtualsphere"</f>
        <v>UHF RFID ABS Hard Tags | Virtualsphere</v>
      </c>
      <c r="L11" s="12" t="n">
        <f aca="false">IF(K11="","",LEN(K11))</f>
        <v>38</v>
      </c>
      <c r="M11" s="13" t="s">
        <v>63</v>
      </c>
      <c r="N11" s="13"/>
      <c r="O11" s="13"/>
    </row>
    <row r="12" customFormat="false" ht="68.65" hidden="false" customHeight="false" outlineLevel="0" collapsed="false">
      <c r="A12" s="10" t="s">
        <v>108</v>
      </c>
      <c r="B12" s="10" t="s">
        <v>13</v>
      </c>
      <c r="C12" s="10" t="s">
        <v>68</v>
      </c>
      <c r="D12" s="10" t="s">
        <v>109</v>
      </c>
      <c r="E12" s="11" t="s">
        <v>110</v>
      </c>
      <c r="F12" s="10" t="s">
        <v>18</v>
      </c>
      <c r="G12" s="10" t="s">
        <v>71</v>
      </c>
      <c r="H12" s="10" t="s">
        <v>111</v>
      </c>
      <c r="I12" s="10" t="s">
        <v>73</v>
      </c>
      <c r="J12" s="10" t="s">
        <v>112</v>
      </c>
      <c r="K12" s="10" t="str">
        <f aca="false">J12&amp;" | Virtualsphere"</f>
        <v>UHF RFID Antennas | Virtualsphere</v>
      </c>
      <c r="L12" s="12" t="n">
        <f aca="false">IF(K12="","",LEN(K12))</f>
        <v>33</v>
      </c>
      <c r="M12" s="13" t="s">
        <v>63</v>
      </c>
      <c r="N12" s="13"/>
      <c r="O12" s="13"/>
    </row>
    <row r="13" customFormat="false" ht="68.65" hidden="false" customHeight="false" outlineLevel="0" collapsed="false">
      <c r="A13" s="10" t="s">
        <v>113</v>
      </c>
      <c r="B13" s="10" t="s">
        <v>13</v>
      </c>
      <c r="C13" s="10" t="s">
        <v>68</v>
      </c>
      <c r="D13" s="10" t="s">
        <v>114</v>
      </c>
      <c r="E13" s="11" t="s">
        <v>115</v>
      </c>
      <c r="F13" s="10" t="s">
        <v>18</v>
      </c>
      <c r="G13" s="10" t="s">
        <v>71</v>
      </c>
      <c r="H13" s="10" t="s">
        <v>116</v>
      </c>
      <c r="I13" s="10" t="s">
        <v>73</v>
      </c>
      <c r="J13" s="10" t="s">
        <v>117</v>
      </c>
      <c r="K13" s="10" t="str">
        <f aca="false">J13&amp;" | Virtualsphere"</f>
        <v>UHF RFID Handheld Readers | Virtualsphere</v>
      </c>
      <c r="L13" s="12" t="n">
        <f aca="false">IF(K13="","",LEN(K13))</f>
        <v>41</v>
      </c>
      <c r="M13" s="13" t="s">
        <v>63</v>
      </c>
      <c r="N13" s="13"/>
      <c r="O13" s="13"/>
    </row>
    <row r="14" customFormat="false" ht="68.65" hidden="false" customHeight="false" outlineLevel="0" collapsed="false">
      <c r="A14" s="10" t="s">
        <v>118</v>
      </c>
      <c r="B14" s="10" t="s">
        <v>13</v>
      </c>
      <c r="C14" s="10" t="s">
        <v>68</v>
      </c>
      <c r="D14" s="10" t="s">
        <v>119</v>
      </c>
      <c r="E14" s="11" t="s">
        <v>120</v>
      </c>
      <c r="F14" s="10" t="s">
        <v>18</v>
      </c>
      <c r="G14" s="10" t="s">
        <v>71</v>
      </c>
      <c r="H14" s="10" t="s">
        <v>121</v>
      </c>
      <c r="I14" s="10" t="s">
        <v>73</v>
      </c>
      <c r="J14" s="10" t="s">
        <v>122</v>
      </c>
      <c r="K14" s="10" t="str">
        <f aca="false">J14&amp;" | Virtualsphere"</f>
        <v>UHF RFID Desktop Readers &amp; Writers | Virtualsphere</v>
      </c>
      <c r="L14" s="12" t="n">
        <f aca="false">IF(K14="","",LEN(K14))</f>
        <v>50</v>
      </c>
      <c r="M14" s="13" t="s">
        <v>63</v>
      </c>
      <c r="N14" s="13"/>
      <c r="O14" s="13"/>
    </row>
    <row r="15" customFormat="false" ht="68.65" hidden="false" customHeight="false" outlineLevel="0" collapsed="false">
      <c r="A15" s="10" t="s">
        <v>123</v>
      </c>
      <c r="B15" s="10" t="s">
        <v>13</v>
      </c>
      <c r="C15" s="10" t="s">
        <v>68</v>
      </c>
      <c r="D15" s="10" t="s">
        <v>124</v>
      </c>
      <c r="E15" s="11" t="s">
        <v>125</v>
      </c>
      <c r="F15" s="10" t="s">
        <v>18</v>
      </c>
      <c r="G15" s="10" t="s">
        <v>71</v>
      </c>
      <c r="H15" s="10" t="s">
        <v>126</v>
      </c>
      <c r="I15" s="10" t="s">
        <v>73</v>
      </c>
      <c r="J15" s="10" t="s">
        <v>127</v>
      </c>
      <c r="K15" s="10" t="str">
        <f aca="false">J15&amp;" | Virtualsphere"</f>
        <v>HF 13.56 MHz RFID Readers | Virtualsphere</v>
      </c>
      <c r="L15" s="12" t="n">
        <f aca="false">IF(K15="","",LEN(K15))</f>
        <v>41</v>
      </c>
      <c r="M15" s="13" t="s">
        <v>63</v>
      </c>
      <c r="N15" s="13"/>
      <c r="O15" s="13"/>
    </row>
    <row r="16" customFormat="false" ht="68.65" hidden="false" customHeight="false" outlineLevel="0" collapsed="false">
      <c r="A16" s="10" t="s">
        <v>128</v>
      </c>
      <c r="B16" s="10" t="s">
        <v>13</v>
      </c>
      <c r="C16" s="10" t="s">
        <v>68</v>
      </c>
      <c r="D16" s="10" t="s">
        <v>129</v>
      </c>
      <c r="E16" s="11" t="s">
        <v>130</v>
      </c>
      <c r="F16" s="10" t="s">
        <v>18</v>
      </c>
      <c r="G16" s="10" t="s">
        <v>71</v>
      </c>
      <c r="H16" s="10" t="s">
        <v>131</v>
      </c>
      <c r="I16" s="10" t="s">
        <v>73</v>
      </c>
      <c r="J16" s="10" t="s">
        <v>132</v>
      </c>
      <c r="K16" s="10" t="str">
        <f aca="false">J16&amp;" | Virtualsphere"</f>
        <v>LF &amp; HF RFID USB Pendrive Readers | Virtualsphere</v>
      </c>
      <c r="L16" s="12" t="n">
        <f aca="false">IF(K16="","",LEN(K16))</f>
        <v>49</v>
      </c>
      <c r="M16" s="13" t="s">
        <v>63</v>
      </c>
      <c r="N16" s="13"/>
      <c r="O16" s="13"/>
    </row>
    <row r="17" customFormat="false" ht="68.65" hidden="false" customHeight="false" outlineLevel="0" collapsed="false">
      <c r="A17" s="10" t="s">
        <v>133</v>
      </c>
      <c r="B17" s="10" t="s">
        <v>13</v>
      </c>
      <c r="C17" s="10" t="s">
        <v>134</v>
      </c>
      <c r="D17" s="10" t="s">
        <v>135</v>
      </c>
      <c r="E17" s="11" t="s">
        <v>136</v>
      </c>
      <c r="F17" s="10" t="s">
        <v>16</v>
      </c>
      <c r="G17" s="10" t="s">
        <v>137</v>
      </c>
      <c r="H17" s="10" t="s">
        <v>138</v>
      </c>
      <c r="I17" s="10" t="s">
        <v>139</v>
      </c>
      <c r="J17" s="10" t="s">
        <v>140</v>
      </c>
      <c r="K17" s="10" t="str">
        <f aca="false">J17&amp;" | Virtualsphere"</f>
        <v>Desktop Barcode Label Printer | Virtualsphere</v>
      </c>
      <c r="L17" s="12" t="n">
        <f aca="false">IF(K17="","",LEN(K17))</f>
        <v>45</v>
      </c>
      <c r="M17" s="13" t="s">
        <v>63</v>
      </c>
      <c r="N17" s="13"/>
      <c r="O17" s="13"/>
    </row>
    <row r="18" customFormat="false" ht="68.65" hidden="false" customHeight="false" outlineLevel="0" collapsed="false">
      <c r="A18" s="10" t="s">
        <v>141</v>
      </c>
      <c r="B18" s="10" t="s">
        <v>13</v>
      </c>
      <c r="C18" s="10" t="s">
        <v>134</v>
      </c>
      <c r="D18" s="10" t="s">
        <v>142</v>
      </c>
      <c r="E18" s="11" t="s">
        <v>143</v>
      </c>
      <c r="F18" s="10" t="s">
        <v>16</v>
      </c>
      <c r="G18" s="10" t="s">
        <v>144</v>
      </c>
      <c r="H18" s="10" t="s">
        <v>138</v>
      </c>
      <c r="I18" s="10" t="s">
        <v>139</v>
      </c>
      <c r="J18" s="10" t="s">
        <v>145</v>
      </c>
      <c r="K18" s="10" t="str">
        <f aca="false">J18&amp;" | Virtualsphere"</f>
        <v>HRD 13 HF 13.56MHz USB Desktop RFID Reader | Virtualsphere</v>
      </c>
      <c r="L18" s="12" t="n">
        <f aca="false">IF(K18="","",LEN(K18))</f>
        <v>58</v>
      </c>
      <c r="M18" s="13" t="s">
        <v>63</v>
      </c>
      <c r="N18" s="13"/>
      <c r="O18" s="13"/>
    </row>
    <row r="19" customFormat="false" ht="68.65" hidden="false" customHeight="false" outlineLevel="0" collapsed="false">
      <c r="A19" s="10" t="s">
        <v>146</v>
      </c>
      <c r="B19" s="10" t="s">
        <v>13</v>
      </c>
      <c r="C19" s="10" t="s">
        <v>134</v>
      </c>
      <c r="D19" s="10" t="s">
        <v>147</v>
      </c>
      <c r="E19" s="11" t="s">
        <v>148</v>
      </c>
      <c r="F19" s="10" t="s">
        <v>16</v>
      </c>
      <c r="G19" s="10" t="s">
        <v>149</v>
      </c>
      <c r="H19" s="10" t="s">
        <v>138</v>
      </c>
      <c r="I19" s="10" t="s">
        <v>139</v>
      </c>
      <c r="J19" s="10" t="s">
        <v>150</v>
      </c>
      <c r="K19" s="10" t="str">
        <f aca="false">J19&amp;" | Virtualsphere"</f>
        <v>LRP 70 125KHz LF RFID USB Pendrive Reader | Virtualsphere</v>
      </c>
      <c r="L19" s="12" t="n">
        <f aca="false">IF(K19="","",LEN(K19))</f>
        <v>57</v>
      </c>
      <c r="M19" s="13" t="s">
        <v>63</v>
      </c>
      <c r="N19" s="13"/>
      <c r="O19" s="13"/>
    </row>
    <row r="20" customFormat="false" ht="68.65" hidden="false" customHeight="false" outlineLevel="0" collapsed="false">
      <c r="A20" s="10" t="s">
        <v>151</v>
      </c>
      <c r="B20" s="10" t="s">
        <v>13</v>
      </c>
      <c r="C20" s="10" t="s">
        <v>134</v>
      </c>
      <c r="D20" s="10" t="s">
        <v>152</v>
      </c>
      <c r="E20" s="11" t="s">
        <v>153</v>
      </c>
      <c r="F20" s="10" t="s">
        <v>16</v>
      </c>
      <c r="G20" s="10" t="s">
        <v>154</v>
      </c>
      <c r="H20" s="10" t="s">
        <v>138</v>
      </c>
      <c r="I20" s="10" t="s">
        <v>139</v>
      </c>
      <c r="J20" s="10" t="s">
        <v>155</v>
      </c>
      <c r="K20" s="10" t="str">
        <f aca="false">J20&amp;" | Virtualsphere"</f>
        <v>UA9 9dBi Circular UHF RFID Antenna, IP67 | Virtualsphere</v>
      </c>
      <c r="L20" s="12" t="n">
        <f aca="false">IF(K20="","",LEN(K20))</f>
        <v>56</v>
      </c>
      <c r="M20" s="13" t="s">
        <v>63</v>
      </c>
      <c r="N20" s="13"/>
      <c r="O20" s="13"/>
    </row>
    <row r="21" customFormat="false" ht="68.65" hidden="false" customHeight="false" outlineLevel="0" collapsed="false">
      <c r="A21" s="10" t="s">
        <v>156</v>
      </c>
      <c r="B21" s="10" t="s">
        <v>13</v>
      </c>
      <c r="C21" s="10" t="s">
        <v>134</v>
      </c>
      <c r="D21" s="10" t="s">
        <v>157</v>
      </c>
      <c r="E21" s="11" t="s">
        <v>158</v>
      </c>
      <c r="F21" s="10" t="s">
        <v>16</v>
      </c>
      <c r="G21" s="10" t="s">
        <v>159</v>
      </c>
      <c r="H21" s="10" t="s">
        <v>138</v>
      </c>
      <c r="I21" s="10" t="s">
        <v>139</v>
      </c>
      <c r="J21" s="10" t="s">
        <v>160</v>
      </c>
      <c r="K21" s="10" t="str">
        <f aca="false">J21&amp;" | Virtualsphere"</f>
        <v>UCA3 3dBi Ceramic UHF RFID Patch Antenna | Virtualsphere</v>
      </c>
      <c r="L21" s="12" t="n">
        <f aca="false">IF(K21="","",LEN(K21))</f>
        <v>56</v>
      </c>
      <c r="M21" s="13" t="s">
        <v>63</v>
      </c>
      <c r="N21" s="13"/>
      <c r="O21" s="13"/>
    </row>
    <row r="22" customFormat="false" ht="68.65" hidden="false" customHeight="false" outlineLevel="0" collapsed="false">
      <c r="A22" s="10" t="s">
        <v>161</v>
      </c>
      <c r="B22" s="10" t="s">
        <v>13</v>
      </c>
      <c r="C22" s="10" t="s">
        <v>134</v>
      </c>
      <c r="D22" s="10" t="s">
        <v>162</v>
      </c>
      <c r="E22" s="11" t="s">
        <v>163</v>
      </c>
      <c r="F22" s="10" t="s">
        <v>16</v>
      </c>
      <c r="G22" s="10" t="s">
        <v>164</v>
      </c>
      <c r="H22" s="10" t="s">
        <v>138</v>
      </c>
      <c r="I22" s="10" t="s">
        <v>139</v>
      </c>
      <c r="J22" s="10" t="s">
        <v>165</v>
      </c>
      <c r="K22" s="10" t="str">
        <f aca="false">J22&amp;" | Virtualsphere"</f>
        <v>UDR-W101 UHF RFID Desktop Reader &amp; Writer | Virtualsphere</v>
      </c>
      <c r="L22" s="12" t="n">
        <f aca="false">IF(K22="","",LEN(K22))</f>
        <v>57</v>
      </c>
      <c r="M22" s="13" t="s">
        <v>63</v>
      </c>
      <c r="N22" s="13"/>
      <c r="O22" s="13"/>
    </row>
    <row r="23" customFormat="false" ht="68.65" hidden="false" customHeight="false" outlineLevel="0" collapsed="false">
      <c r="A23" s="10" t="s">
        <v>166</v>
      </c>
      <c r="B23" s="10" t="s">
        <v>13</v>
      </c>
      <c r="C23" s="10" t="s">
        <v>134</v>
      </c>
      <c r="D23" s="10" t="s">
        <v>167</v>
      </c>
      <c r="E23" s="11" t="s">
        <v>168</v>
      </c>
      <c r="F23" s="10" t="s">
        <v>16</v>
      </c>
      <c r="G23" s="10" t="s">
        <v>169</v>
      </c>
      <c r="H23" s="10" t="s">
        <v>138</v>
      </c>
      <c r="I23" s="10" t="s">
        <v>139</v>
      </c>
      <c r="J23" s="10" t="s">
        <v>170</v>
      </c>
      <c r="K23" s="10" t="str">
        <f aca="false">J23&amp;" | Virtualsphere"</f>
        <v>UDT9R RFID Jewellery Tray Reader, Bluetooth | Virtualsphere</v>
      </c>
      <c r="L23" s="12" t="n">
        <f aca="false">IF(K23="","",LEN(K23))</f>
        <v>59</v>
      </c>
      <c r="M23" s="13" t="s">
        <v>63</v>
      </c>
      <c r="N23" s="13"/>
      <c r="O23" s="13"/>
    </row>
    <row r="24" customFormat="false" ht="68.65" hidden="false" customHeight="false" outlineLevel="0" collapsed="false">
      <c r="A24" s="10" t="s">
        <v>171</v>
      </c>
      <c r="B24" s="10" t="s">
        <v>13</v>
      </c>
      <c r="C24" s="10" t="s">
        <v>134</v>
      </c>
      <c r="D24" s="10" t="s">
        <v>172</v>
      </c>
      <c r="E24" s="11" t="s">
        <v>173</v>
      </c>
      <c r="F24" s="10" t="s">
        <v>16</v>
      </c>
      <c r="G24" s="10" t="s">
        <v>174</v>
      </c>
      <c r="H24" s="10" t="s">
        <v>138</v>
      </c>
      <c r="I24" s="10" t="s">
        <v>139</v>
      </c>
      <c r="J24" s="10" t="s">
        <v>175</v>
      </c>
      <c r="K24" s="10" t="str">
        <f aca="false">J24&amp;" | Virtualsphere"</f>
        <v>UHR2 Android UHF RFID Handheld Reader, 20m | Virtualsphere</v>
      </c>
      <c r="L24" s="12" t="n">
        <f aca="false">IF(K24="","",LEN(K24))</f>
        <v>58</v>
      </c>
      <c r="M24" s="13" t="s">
        <v>63</v>
      </c>
      <c r="N24" s="13"/>
      <c r="O24" s="13"/>
    </row>
    <row r="25" customFormat="false" ht="68.65" hidden="false" customHeight="false" outlineLevel="0" collapsed="false">
      <c r="A25" s="10" t="s">
        <v>176</v>
      </c>
      <c r="B25" s="10" t="s">
        <v>13</v>
      </c>
      <c r="C25" s="10" t="s">
        <v>134</v>
      </c>
      <c r="D25" s="10" t="s">
        <v>177</v>
      </c>
      <c r="E25" s="11" t="s">
        <v>178</v>
      </c>
      <c r="F25" s="10" t="s">
        <v>16</v>
      </c>
      <c r="G25" s="10" t="s">
        <v>179</v>
      </c>
      <c r="H25" s="10" t="s">
        <v>138</v>
      </c>
      <c r="I25" s="10" t="s">
        <v>139</v>
      </c>
      <c r="J25" s="10" t="s">
        <v>180</v>
      </c>
      <c r="K25" s="10" t="str">
        <f aca="false">J25&amp;" | Virtualsphere"</f>
        <v>VST-9662 UHF RFID Inlay, Alien Higgs-3 | Virtualsphere</v>
      </c>
      <c r="L25" s="12" t="n">
        <f aca="false">IF(K25="","",LEN(K25))</f>
        <v>54</v>
      </c>
      <c r="M25" s="13" t="s">
        <v>63</v>
      </c>
      <c r="N25" s="13"/>
      <c r="O25" s="13"/>
    </row>
    <row r="26" customFormat="false" ht="68.65" hidden="false" customHeight="false" outlineLevel="0" collapsed="false">
      <c r="A26" s="10" t="s">
        <v>181</v>
      </c>
      <c r="B26" s="10" t="s">
        <v>13</v>
      </c>
      <c r="C26" s="10" t="s">
        <v>134</v>
      </c>
      <c r="D26" s="10" t="s">
        <v>182</v>
      </c>
      <c r="E26" s="11" t="s">
        <v>183</v>
      </c>
      <c r="F26" s="10" t="s">
        <v>16</v>
      </c>
      <c r="G26" s="10" t="s">
        <v>184</v>
      </c>
      <c r="H26" s="10" t="s">
        <v>138</v>
      </c>
      <c r="I26" s="10" t="s">
        <v>139</v>
      </c>
      <c r="J26" s="10" t="s">
        <v>185</v>
      </c>
      <c r="K26" s="10" t="str">
        <f aca="false">J26&amp;" | Virtualsphere"</f>
        <v>PBR3 Bluetooth UHF RFID Portable Reader | Virtualsphere</v>
      </c>
      <c r="L26" s="12" t="n">
        <f aca="false">IF(K26="","",LEN(K26))</f>
        <v>55</v>
      </c>
      <c r="M26" s="13" t="s">
        <v>63</v>
      </c>
      <c r="N26" s="13"/>
      <c r="O26" s="13"/>
    </row>
    <row r="27" customFormat="false" ht="68.65" hidden="false" customHeight="false" outlineLevel="0" collapsed="false">
      <c r="A27" s="10" t="s">
        <v>186</v>
      </c>
      <c r="B27" s="10" t="s">
        <v>13</v>
      </c>
      <c r="C27" s="10" t="s">
        <v>134</v>
      </c>
      <c r="D27" s="10" t="s">
        <v>187</v>
      </c>
      <c r="E27" s="11" t="s">
        <v>188</v>
      </c>
      <c r="F27" s="10" t="s">
        <v>16</v>
      </c>
      <c r="G27" s="10" t="s">
        <v>189</v>
      </c>
      <c r="H27" s="10" t="s">
        <v>138</v>
      </c>
      <c r="I27" s="10" t="s">
        <v>139</v>
      </c>
      <c r="J27" s="10" t="s">
        <v>190</v>
      </c>
      <c r="K27" s="10" t="str">
        <f aca="false">J27&amp;" | Virtualsphere"</f>
        <v>UA12 12dBi Circular UHF RFID Antenna | Virtualsphere</v>
      </c>
      <c r="L27" s="12" t="n">
        <f aca="false">IF(K27="","",LEN(K27))</f>
        <v>52</v>
      </c>
      <c r="M27" s="13" t="s">
        <v>63</v>
      </c>
      <c r="N27" s="13"/>
      <c r="O27" s="13"/>
    </row>
    <row r="28" customFormat="false" ht="68.65" hidden="false" customHeight="false" outlineLevel="0" collapsed="false">
      <c r="A28" s="10" t="s">
        <v>191</v>
      </c>
      <c r="B28" s="10" t="s">
        <v>13</v>
      </c>
      <c r="C28" s="10" t="s">
        <v>134</v>
      </c>
      <c r="D28" s="10" t="s">
        <v>192</v>
      </c>
      <c r="E28" s="11" t="s">
        <v>193</v>
      </c>
      <c r="F28" s="10" t="s">
        <v>16</v>
      </c>
      <c r="G28" s="10" t="s">
        <v>194</v>
      </c>
      <c r="H28" s="10" t="s">
        <v>138</v>
      </c>
      <c r="I28" s="10" t="s">
        <v>139</v>
      </c>
      <c r="J28" s="10" t="s">
        <v>195</v>
      </c>
      <c r="K28" s="10" t="str">
        <f aca="false">J28&amp;" | Virtualsphere"</f>
        <v>UHR 5 UHF RFID Handheld Reader with NFC | Virtualsphere</v>
      </c>
      <c r="L28" s="12" t="n">
        <f aca="false">IF(K28="","",LEN(K28))</f>
        <v>55</v>
      </c>
      <c r="M28" s="13" t="s">
        <v>63</v>
      </c>
      <c r="N28" s="13"/>
      <c r="O28" s="13"/>
    </row>
    <row r="29" customFormat="false" ht="46.25" hidden="false" customHeight="false" outlineLevel="0" collapsed="false">
      <c r="A29" s="10" t="s">
        <v>196</v>
      </c>
      <c r="B29" s="10" t="s">
        <v>13</v>
      </c>
      <c r="C29" s="10" t="s">
        <v>134</v>
      </c>
      <c r="D29" s="10" t="s">
        <v>142</v>
      </c>
      <c r="E29" s="11" t="s">
        <v>143</v>
      </c>
      <c r="F29" s="10" t="s">
        <v>19</v>
      </c>
      <c r="G29" s="10" t="s">
        <v>144</v>
      </c>
      <c r="H29" s="10" t="s">
        <v>197</v>
      </c>
      <c r="I29" s="10" t="s">
        <v>198</v>
      </c>
      <c r="J29" s="10" t="s">
        <v>145</v>
      </c>
      <c r="K29" s="10" t="str">
        <f aca="false">J29&amp;" | Virtualsphere"</f>
        <v>HRD 13 HF 13.56MHz USB Desktop RFID Reader | Virtualsphere</v>
      </c>
      <c r="L29" s="12" t="n">
        <f aca="false">IF(K29="","",LEN(K29))</f>
        <v>58</v>
      </c>
      <c r="M29" s="13" t="s">
        <v>63</v>
      </c>
      <c r="N29" s="13"/>
      <c r="O29" s="13"/>
    </row>
    <row r="30" customFormat="false" ht="46.25" hidden="false" customHeight="false" outlineLevel="0" collapsed="false">
      <c r="A30" s="10" t="s">
        <v>199</v>
      </c>
      <c r="B30" s="10" t="s">
        <v>13</v>
      </c>
      <c r="C30" s="10" t="s">
        <v>134</v>
      </c>
      <c r="D30" s="10" t="s">
        <v>152</v>
      </c>
      <c r="E30" s="11" t="s">
        <v>153</v>
      </c>
      <c r="F30" s="10" t="s">
        <v>19</v>
      </c>
      <c r="G30" s="10" t="s">
        <v>154</v>
      </c>
      <c r="H30" s="10" t="s">
        <v>197</v>
      </c>
      <c r="I30" s="10" t="s">
        <v>198</v>
      </c>
      <c r="J30" s="10" t="s">
        <v>155</v>
      </c>
      <c r="K30" s="10" t="str">
        <f aca="false">J30&amp;" | Virtualsphere"</f>
        <v>UA9 9dBi Circular UHF RFID Antenna, IP67 | Virtualsphere</v>
      </c>
      <c r="L30" s="12" t="n">
        <f aca="false">IF(K30="","",LEN(K30))</f>
        <v>56</v>
      </c>
      <c r="M30" s="13" t="s">
        <v>63</v>
      </c>
      <c r="N30" s="13"/>
      <c r="O30" s="13"/>
    </row>
    <row r="31" customFormat="false" ht="46.25" hidden="false" customHeight="false" outlineLevel="0" collapsed="false">
      <c r="A31" s="10" t="s">
        <v>200</v>
      </c>
      <c r="B31" s="10" t="s">
        <v>13</v>
      </c>
      <c r="C31" s="10" t="s">
        <v>134</v>
      </c>
      <c r="D31" s="10" t="s">
        <v>157</v>
      </c>
      <c r="E31" s="11" t="s">
        <v>158</v>
      </c>
      <c r="F31" s="10" t="s">
        <v>19</v>
      </c>
      <c r="G31" s="10" t="s">
        <v>159</v>
      </c>
      <c r="H31" s="10" t="s">
        <v>197</v>
      </c>
      <c r="I31" s="10" t="s">
        <v>198</v>
      </c>
      <c r="J31" s="10" t="s">
        <v>160</v>
      </c>
      <c r="K31" s="10" t="str">
        <f aca="false">J31&amp;" | Virtualsphere"</f>
        <v>UCA3 3dBi Ceramic UHF RFID Patch Antenna | Virtualsphere</v>
      </c>
      <c r="L31" s="12" t="n">
        <f aca="false">IF(K31="","",LEN(K31))</f>
        <v>56</v>
      </c>
      <c r="M31" s="13" t="s">
        <v>63</v>
      </c>
      <c r="N31" s="13"/>
      <c r="O31" s="13"/>
    </row>
    <row r="32" customFormat="false" ht="46.25" hidden="false" customHeight="false" outlineLevel="0" collapsed="false">
      <c r="A32" s="10" t="s">
        <v>201</v>
      </c>
      <c r="B32" s="10" t="s">
        <v>13</v>
      </c>
      <c r="C32" s="10" t="s">
        <v>134</v>
      </c>
      <c r="D32" s="10" t="s">
        <v>147</v>
      </c>
      <c r="E32" s="11" t="s">
        <v>148</v>
      </c>
      <c r="F32" s="10" t="s">
        <v>19</v>
      </c>
      <c r="G32" s="10" t="s">
        <v>149</v>
      </c>
      <c r="H32" s="10" t="s">
        <v>197</v>
      </c>
      <c r="I32" s="10" t="s">
        <v>198</v>
      </c>
      <c r="J32" s="10" t="s">
        <v>150</v>
      </c>
      <c r="K32" s="10" t="str">
        <f aca="false">J32&amp;" | Virtualsphere"</f>
        <v>LRP 70 125KHz LF RFID USB Pendrive Reader | Virtualsphere</v>
      </c>
      <c r="L32" s="12" t="n">
        <f aca="false">IF(K32="","",LEN(K32))</f>
        <v>57</v>
      </c>
      <c r="M32" s="13" t="s">
        <v>63</v>
      </c>
      <c r="N32" s="13"/>
      <c r="O32" s="13"/>
    </row>
    <row r="33" customFormat="false" ht="46.25" hidden="false" customHeight="false" outlineLevel="0" collapsed="false">
      <c r="A33" s="10" t="s">
        <v>202</v>
      </c>
      <c r="B33" s="10" t="s">
        <v>13</v>
      </c>
      <c r="C33" s="10" t="s">
        <v>134</v>
      </c>
      <c r="D33" s="10" t="s">
        <v>192</v>
      </c>
      <c r="E33" s="11" t="s">
        <v>193</v>
      </c>
      <c r="F33" s="10" t="s">
        <v>20</v>
      </c>
      <c r="G33" s="10" t="s">
        <v>194</v>
      </c>
      <c r="H33" s="10" t="s">
        <v>203</v>
      </c>
      <c r="I33" s="10" t="s">
        <v>204</v>
      </c>
      <c r="J33" s="10" t="s">
        <v>195</v>
      </c>
      <c r="K33" s="10" t="str">
        <f aca="false">J33&amp;" | Virtualsphere"</f>
        <v>UHR 5 UHF RFID Handheld Reader with NFC | Virtualsphere</v>
      </c>
      <c r="L33" s="12" t="n">
        <f aca="false">IF(K33="","",LEN(K33))</f>
        <v>55</v>
      </c>
      <c r="M33" s="13" t="s">
        <v>63</v>
      </c>
      <c r="N33" s="13"/>
      <c r="O33" s="13"/>
    </row>
    <row r="34" customFormat="false" ht="35.05" hidden="false" customHeight="false" outlineLevel="0" collapsed="false">
      <c r="A34" s="10" t="s">
        <v>205</v>
      </c>
      <c r="B34" s="10" t="s">
        <v>13</v>
      </c>
      <c r="C34" s="10" t="s">
        <v>134</v>
      </c>
      <c r="D34" s="10" t="s">
        <v>206</v>
      </c>
      <c r="E34" s="11" t="s">
        <v>207</v>
      </c>
      <c r="F34" s="10" t="s">
        <v>21</v>
      </c>
      <c r="G34" s="10" t="s">
        <v>208</v>
      </c>
      <c r="H34" s="10" t="s">
        <v>209</v>
      </c>
      <c r="I34" s="10" t="s">
        <v>210</v>
      </c>
      <c r="J34" s="10" t="s">
        <v>211</v>
      </c>
      <c r="K34" s="10" t="str">
        <f aca="false">J34&amp;" | Virtualsphere"</f>
        <v>UDR 102 UHF RFID Desktop Reader &amp; Writer | Virtualsphere</v>
      </c>
      <c r="L34" s="12" t="n">
        <f aca="false">IF(K34="","",LEN(K34))</f>
        <v>56</v>
      </c>
      <c r="M34" s="13" t="s">
        <v>63</v>
      </c>
      <c r="N34" s="13"/>
      <c r="O34" s="13"/>
    </row>
    <row r="35" customFormat="false" ht="57.45" hidden="false" customHeight="false" outlineLevel="0" collapsed="false">
      <c r="A35" s="10" t="s">
        <v>212</v>
      </c>
      <c r="B35" s="10" t="s">
        <v>13</v>
      </c>
      <c r="C35" s="10" t="s">
        <v>213</v>
      </c>
      <c r="D35" s="10" t="s">
        <v>214</v>
      </c>
      <c r="E35" s="11" t="s">
        <v>214</v>
      </c>
      <c r="F35" s="10" t="s">
        <v>22</v>
      </c>
      <c r="G35" s="10"/>
      <c r="H35" s="10" t="s">
        <v>215</v>
      </c>
      <c r="I35" s="10" t="s">
        <v>216</v>
      </c>
      <c r="J35" s="10"/>
      <c r="K35" s="10"/>
      <c r="L35" s="12"/>
      <c r="M35" s="13" t="s">
        <v>63</v>
      </c>
      <c r="N35" s="13"/>
      <c r="O35" s="13"/>
    </row>
    <row r="36" customFormat="false" ht="35.05" hidden="false" customHeight="false" outlineLevel="0" collapsed="false">
      <c r="A36" s="10" t="s">
        <v>217</v>
      </c>
      <c r="B36" s="10" t="s">
        <v>14</v>
      </c>
      <c r="C36" s="10" t="s">
        <v>218</v>
      </c>
      <c r="D36" s="10" t="s">
        <v>219</v>
      </c>
      <c r="E36" s="11" t="s">
        <v>220</v>
      </c>
      <c r="F36" s="10" t="s">
        <v>17</v>
      </c>
      <c r="G36" s="10" t="s">
        <v>71</v>
      </c>
      <c r="H36" s="10" t="s">
        <v>221</v>
      </c>
      <c r="I36" s="10" t="s">
        <v>66</v>
      </c>
      <c r="J36" s="10" t="s">
        <v>222</v>
      </c>
      <c r="K36" s="10" t="str">
        <f aca="false">J36&amp;" | Virtualsphere"</f>
        <v>Buy RFID Readers, Tags &amp; Antennas Online | Virtualsphere</v>
      </c>
      <c r="L36" s="12" t="n">
        <f aca="false">IF(K36="","",LEN(K36))</f>
        <v>56</v>
      </c>
      <c r="M36" s="13" t="s">
        <v>63</v>
      </c>
      <c r="N36" s="13"/>
      <c r="O36" s="13"/>
    </row>
    <row r="37" customFormat="false" ht="57.45" hidden="false" customHeight="false" outlineLevel="0" collapsed="false">
      <c r="A37" s="10" t="s">
        <v>223</v>
      </c>
      <c r="B37" s="10" t="s">
        <v>14</v>
      </c>
      <c r="C37" s="10" t="s">
        <v>218</v>
      </c>
      <c r="D37" s="10" t="s">
        <v>224</v>
      </c>
      <c r="E37" s="11" t="s">
        <v>225</v>
      </c>
      <c r="F37" s="10" t="s">
        <v>16</v>
      </c>
      <c r="G37" s="10" t="s">
        <v>226</v>
      </c>
      <c r="H37" s="10" t="s">
        <v>227</v>
      </c>
      <c r="I37" s="10" t="s">
        <v>61</v>
      </c>
      <c r="J37" s="10" t="s">
        <v>224</v>
      </c>
      <c r="K37" s="10" t="str">
        <f aca="false">J37&amp;" | Virtualsphere"</f>
        <v>Privacy Policy | Virtualsphere</v>
      </c>
      <c r="L37" s="12" t="n">
        <f aca="false">IF(K37="","",LEN(K37))</f>
        <v>30</v>
      </c>
      <c r="M37" s="13" t="s">
        <v>63</v>
      </c>
      <c r="N37" s="13"/>
      <c r="O37" s="13"/>
    </row>
    <row r="38" customFormat="false" ht="57.45" hidden="false" customHeight="false" outlineLevel="0" collapsed="false">
      <c r="A38" s="10" t="s">
        <v>228</v>
      </c>
      <c r="B38" s="10" t="s">
        <v>14</v>
      </c>
      <c r="C38" s="10" t="s">
        <v>218</v>
      </c>
      <c r="D38" s="10" t="s">
        <v>229</v>
      </c>
      <c r="E38" s="11" t="s">
        <v>230</v>
      </c>
      <c r="F38" s="10" t="s">
        <v>16</v>
      </c>
      <c r="G38" s="10" t="s">
        <v>231</v>
      </c>
      <c r="H38" s="10" t="s">
        <v>232</v>
      </c>
      <c r="I38" s="10" t="s">
        <v>61</v>
      </c>
      <c r="J38" s="10" t="s">
        <v>229</v>
      </c>
      <c r="K38" s="10" t="str">
        <f aca="false">J38&amp;" | Virtualsphere"</f>
        <v>Terms &amp; Conditions | Virtualsphere</v>
      </c>
      <c r="L38" s="12" t="n">
        <f aca="false">IF(K38="","",LEN(K38))</f>
        <v>34</v>
      </c>
      <c r="M38" s="13" t="s">
        <v>63</v>
      </c>
      <c r="N38" s="13"/>
      <c r="O38" s="13"/>
    </row>
    <row r="39" customFormat="false" ht="57.45" hidden="false" customHeight="false" outlineLevel="0" collapsed="false">
      <c r="A39" s="10" t="s">
        <v>233</v>
      </c>
      <c r="B39" s="10" t="s">
        <v>14</v>
      </c>
      <c r="C39" s="10" t="s">
        <v>68</v>
      </c>
      <c r="D39" s="10" t="s">
        <v>85</v>
      </c>
      <c r="E39" s="11" t="s">
        <v>86</v>
      </c>
      <c r="F39" s="10" t="s">
        <v>23</v>
      </c>
      <c r="G39" s="10" t="s">
        <v>86</v>
      </c>
      <c r="H39" s="10" t="s">
        <v>234</v>
      </c>
      <c r="I39" s="10" t="s">
        <v>235</v>
      </c>
      <c r="J39" s="10" t="s">
        <v>236</v>
      </c>
      <c r="K39" s="10"/>
      <c r="L39" s="12"/>
      <c r="M39" s="13" t="s">
        <v>63</v>
      </c>
      <c r="N39" s="13"/>
      <c r="O39" s="13"/>
    </row>
    <row r="40" customFormat="false" ht="57.45" hidden="false" customHeight="false" outlineLevel="0" collapsed="false">
      <c r="A40" s="10" t="s">
        <v>237</v>
      </c>
      <c r="B40" s="10" t="s">
        <v>14</v>
      </c>
      <c r="C40" s="10" t="s">
        <v>68</v>
      </c>
      <c r="D40" s="10" t="s">
        <v>95</v>
      </c>
      <c r="E40" s="11" t="s">
        <v>96</v>
      </c>
      <c r="F40" s="10" t="s">
        <v>23</v>
      </c>
      <c r="G40" s="10" t="s">
        <v>96</v>
      </c>
      <c r="H40" s="10" t="s">
        <v>238</v>
      </c>
      <c r="I40" s="10" t="s">
        <v>235</v>
      </c>
      <c r="J40" s="10" t="s">
        <v>239</v>
      </c>
      <c r="K40" s="10"/>
      <c r="L40" s="12"/>
      <c r="M40" s="13" t="s">
        <v>63</v>
      </c>
      <c r="N40" s="13"/>
      <c r="O40" s="13"/>
    </row>
    <row r="41" customFormat="false" ht="57.45" hidden="false" customHeight="false" outlineLevel="0" collapsed="false">
      <c r="A41" s="10" t="s">
        <v>240</v>
      </c>
      <c r="B41" s="10" t="s">
        <v>14</v>
      </c>
      <c r="C41" s="10" t="s">
        <v>134</v>
      </c>
      <c r="D41" s="10" t="s">
        <v>162</v>
      </c>
      <c r="E41" s="11" t="s">
        <v>163</v>
      </c>
      <c r="F41" s="10" t="s">
        <v>24</v>
      </c>
      <c r="G41" s="10" t="s">
        <v>241</v>
      </c>
      <c r="H41" s="10" t="s">
        <v>242</v>
      </c>
      <c r="I41" s="10" t="s">
        <v>243</v>
      </c>
      <c r="J41" s="10" t="s">
        <v>244</v>
      </c>
      <c r="K41" s="10"/>
      <c r="L41" s="12"/>
      <c r="M41" s="13" t="s">
        <v>63</v>
      </c>
      <c r="N41" s="13"/>
      <c r="O41" s="13"/>
    </row>
    <row r="42" customFormat="false" ht="57.45" hidden="false" customHeight="false" outlineLevel="0" collapsed="false">
      <c r="A42" s="10" t="s">
        <v>245</v>
      </c>
      <c r="B42" s="10" t="s">
        <v>14</v>
      </c>
      <c r="C42" s="10" t="s">
        <v>134</v>
      </c>
      <c r="D42" s="10" t="s">
        <v>167</v>
      </c>
      <c r="E42" s="11" t="s">
        <v>168</v>
      </c>
      <c r="F42" s="10" t="s">
        <v>24</v>
      </c>
      <c r="G42" s="10" t="s">
        <v>241</v>
      </c>
      <c r="H42" s="10" t="s">
        <v>242</v>
      </c>
      <c r="I42" s="10" t="s">
        <v>243</v>
      </c>
      <c r="J42" s="10" t="s">
        <v>246</v>
      </c>
      <c r="K42" s="10"/>
      <c r="L42" s="12"/>
      <c r="M42" s="13" t="s">
        <v>63</v>
      </c>
      <c r="N42" s="13"/>
      <c r="O42" s="13"/>
    </row>
    <row r="43" customFormat="false" ht="57.45" hidden="false" customHeight="false" outlineLevel="0" collapsed="false">
      <c r="A43" s="10" t="s">
        <v>247</v>
      </c>
      <c r="B43" s="10" t="s">
        <v>14</v>
      </c>
      <c r="C43" s="10" t="s">
        <v>134</v>
      </c>
      <c r="D43" s="10" t="s">
        <v>172</v>
      </c>
      <c r="E43" s="11" t="s">
        <v>173</v>
      </c>
      <c r="F43" s="10" t="s">
        <v>24</v>
      </c>
      <c r="G43" s="10" t="s">
        <v>241</v>
      </c>
      <c r="H43" s="10" t="s">
        <v>242</v>
      </c>
      <c r="I43" s="10" t="s">
        <v>243</v>
      </c>
      <c r="J43" s="10" t="s">
        <v>248</v>
      </c>
      <c r="K43" s="10"/>
      <c r="L43" s="12"/>
      <c r="M43" s="13" t="s">
        <v>63</v>
      </c>
      <c r="N43" s="13"/>
      <c r="O43" s="13"/>
    </row>
    <row r="44" customFormat="false" ht="57.45" hidden="false" customHeight="false" outlineLevel="0" collapsed="false">
      <c r="A44" s="10" t="s">
        <v>249</v>
      </c>
      <c r="B44" s="10" t="s">
        <v>14</v>
      </c>
      <c r="C44" s="10" t="s">
        <v>134</v>
      </c>
      <c r="D44" s="10" t="s">
        <v>250</v>
      </c>
      <c r="E44" s="11" t="s">
        <v>251</v>
      </c>
      <c r="F44" s="10" t="s">
        <v>24</v>
      </c>
      <c r="G44" s="10" t="s">
        <v>241</v>
      </c>
      <c r="H44" s="10" t="s">
        <v>242</v>
      </c>
      <c r="I44" s="10" t="s">
        <v>243</v>
      </c>
      <c r="J44" s="10" t="s">
        <v>252</v>
      </c>
      <c r="K44" s="10"/>
      <c r="L44" s="12"/>
      <c r="M44" s="13" t="s">
        <v>63</v>
      </c>
      <c r="N44" s="13"/>
      <c r="O44" s="13"/>
    </row>
    <row r="45" customFormat="false" ht="46.25" hidden="false" customHeight="false" outlineLevel="0" collapsed="false">
      <c r="A45" s="10" t="s">
        <v>253</v>
      </c>
      <c r="B45" s="10" t="s">
        <v>14</v>
      </c>
      <c r="C45" s="10" t="s">
        <v>134</v>
      </c>
      <c r="D45" s="10" t="s">
        <v>254</v>
      </c>
      <c r="E45" s="11" t="s">
        <v>255</v>
      </c>
      <c r="F45" s="10" t="s">
        <v>25</v>
      </c>
      <c r="G45" s="10" t="s">
        <v>241</v>
      </c>
      <c r="H45" s="10" t="s">
        <v>256</v>
      </c>
      <c r="I45" s="10" t="s">
        <v>257</v>
      </c>
      <c r="J45" s="10" t="s">
        <v>258</v>
      </c>
      <c r="K45" s="10"/>
      <c r="L45" s="12"/>
      <c r="M45" s="13" t="s">
        <v>63</v>
      </c>
      <c r="N45" s="13"/>
      <c r="O45" s="13"/>
    </row>
    <row r="46" customFormat="false" ht="46.25" hidden="false" customHeight="false" outlineLevel="0" collapsed="false">
      <c r="A46" s="10" t="s">
        <v>259</v>
      </c>
      <c r="B46" s="10" t="s">
        <v>14</v>
      </c>
      <c r="C46" s="10" t="s">
        <v>134</v>
      </c>
      <c r="D46" s="10" t="s">
        <v>260</v>
      </c>
      <c r="E46" s="11" t="s">
        <v>261</v>
      </c>
      <c r="F46" s="10" t="s">
        <v>25</v>
      </c>
      <c r="G46" s="10" t="s">
        <v>241</v>
      </c>
      <c r="H46" s="10" t="s">
        <v>262</v>
      </c>
      <c r="I46" s="10" t="s">
        <v>257</v>
      </c>
      <c r="J46" s="10" t="s">
        <v>263</v>
      </c>
      <c r="K46" s="10"/>
      <c r="L46" s="12"/>
      <c r="M46" s="13" t="s">
        <v>63</v>
      </c>
      <c r="N46" s="13"/>
      <c r="O46" s="13"/>
    </row>
    <row r="47" customFormat="false" ht="46.25" hidden="false" customHeight="false" outlineLevel="0" collapsed="false">
      <c r="A47" s="10" t="s">
        <v>264</v>
      </c>
      <c r="B47" s="10" t="s">
        <v>14</v>
      </c>
      <c r="C47" s="10" t="s">
        <v>134</v>
      </c>
      <c r="D47" s="10" t="s">
        <v>265</v>
      </c>
      <c r="E47" s="11" t="s">
        <v>266</v>
      </c>
      <c r="F47" s="10" t="s">
        <v>25</v>
      </c>
      <c r="G47" s="10" t="s">
        <v>241</v>
      </c>
      <c r="H47" s="10" t="s">
        <v>267</v>
      </c>
      <c r="I47" s="10" t="s">
        <v>257</v>
      </c>
      <c r="J47" s="10" t="s">
        <v>268</v>
      </c>
      <c r="K47" s="10"/>
      <c r="L47" s="12"/>
      <c r="M47" s="13" t="s">
        <v>63</v>
      </c>
      <c r="N47" s="13"/>
      <c r="O47" s="13"/>
    </row>
    <row r="48" customFormat="false" ht="46.25" hidden="false" customHeight="false" outlineLevel="0" collapsed="false">
      <c r="A48" s="10" t="s">
        <v>269</v>
      </c>
      <c r="B48" s="10" t="s">
        <v>14</v>
      </c>
      <c r="C48" s="10" t="s">
        <v>134</v>
      </c>
      <c r="D48" s="10" t="s">
        <v>270</v>
      </c>
      <c r="E48" s="11" t="s">
        <v>271</v>
      </c>
      <c r="F48" s="10" t="s">
        <v>25</v>
      </c>
      <c r="G48" s="10" t="s">
        <v>241</v>
      </c>
      <c r="H48" s="10" t="s">
        <v>272</v>
      </c>
      <c r="I48" s="10" t="s">
        <v>257</v>
      </c>
      <c r="J48" s="10" t="s">
        <v>273</v>
      </c>
      <c r="K48" s="10"/>
      <c r="L48" s="12"/>
      <c r="M48" s="13" t="s">
        <v>63</v>
      </c>
      <c r="N48" s="13"/>
      <c r="O48" s="13"/>
    </row>
    <row r="49" customFormat="false" ht="46.25" hidden="false" customHeight="false" outlineLevel="0" collapsed="false">
      <c r="A49" s="10" t="s">
        <v>274</v>
      </c>
      <c r="B49" s="10" t="s">
        <v>14</v>
      </c>
      <c r="C49" s="10" t="s">
        <v>134</v>
      </c>
      <c r="D49" s="10" t="s">
        <v>275</v>
      </c>
      <c r="E49" s="11" t="s">
        <v>276</v>
      </c>
      <c r="F49" s="10" t="s">
        <v>25</v>
      </c>
      <c r="G49" s="10" t="s">
        <v>241</v>
      </c>
      <c r="H49" s="10" t="s">
        <v>277</v>
      </c>
      <c r="I49" s="10" t="s">
        <v>257</v>
      </c>
      <c r="J49" s="10" t="s">
        <v>278</v>
      </c>
      <c r="K49" s="10"/>
      <c r="L49" s="12"/>
      <c r="M49" s="13" t="s">
        <v>63</v>
      </c>
      <c r="N49" s="13"/>
      <c r="O49" s="13"/>
    </row>
    <row r="50" customFormat="false" ht="46.25" hidden="false" customHeight="false" outlineLevel="0" collapsed="false">
      <c r="A50" s="10" t="s">
        <v>279</v>
      </c>
      <c r="B50" s="10" t="s">
        <v>14</v>
      </c>
      <c r="C50" s="10" t="s">
        <v>134</v>
      </c>
      <c r="D50" s="10" t="s">
        <v>206</v>
      </c>
      <c r="E50" s="11" t="s">
        <v>207</v>
      </c>
      <c r="F50" s="10" t="s">
        <v>25</v>
      </c>
      <c r="G50" s="10" t="s">
        <v>241</v>
      </c>
      <c r="H50" s="10" t="s">
        <v>280</v>
      </c>
      <c r="I50" s="10" t="s">
        <v>257</v>
      </c>
      <c r="J50" s="10" t="s">
        <v>281</v>
      </c>
      <c r="K50" s="10"/>
      <c r="L50" s="12"/>
      <c r="M50" s="13" t="s">
        <v>63</v>
      </c>
      <c r="N50" s="13"/>
      <c r="O50" s="13"/>
    </row>
    <row r="51" customFormat="false" ht="46.25" hidden="false" customHeight="false" outlineLevel="0" collapsed="false">
      <c r="A51" s="10" t="s">
        <v>282</v>
      </c>
      <c r="B51" s="10" t="s">
        <v>14</v>
      </c>
      <c r="C51" s="10" t="s">
        <v>213</v>
      </c>
      <c r="D51" s="10" t="s">
        <v>283</v>
      </c>
      <c r="E51" s="11" t="s">
        <v>283</v>
      </c>
      <c r="F51" s="10" t="s">
        <v>26</v>
      </c>
      <c r="G51" s="10"/>
      <c r="H51" s="10" t="s">
        <v>284</v>
      </c>
      <c r="I51" s="10" t="s">
        <v>285</v>
      </c>
      <c r="J51" s="10"/>
      <c r="K51" s="10"/>
      <c r="L51" s="12"/>
      <c r="M51" s="13" t="s">
        <v>63</v>
      </c>
      <c r="N51" s="13"/>
      <c r="O51" s="13"/>
    </row>
    <row r="52" customFormat="false" ht="35.05" hidden="false" customHeight="false" outlineLevel="0" collapsed="false">
      <c r="A52" s="10" t="s">
        <v>286</v>
      </c>
      <c r="B52" s="10" t="s">
        <v>14</v>
      </c>
      <c r="C52" s="10" t="s">
        <v>213</v>
      </c>
      <c r="D52" s="10" t="s">
        <v>287</v>
      </c>
      <c r="E52" s="11" t="s">
        <v>287</v>
      </c>
      <c r="F52" s="10" t="s">
        <v>27</v>
      </c>
      <c r="G52" s="10"/>
      <c r="H52" s="10" t="s">
        <v>288</v>
      </c>
      <c r="I52" s="10" t="s">
        <v>289</v>
      </c>
      <c r="J52" s="10"/>
      <c r="K52" s="10"/>
      <c r="L52" s="12"/>
      <c r="M52" s="13" t="s">
        <v>63</v>
      </c>
      <c r="N52" s="13"/>
      <c r="O52" s="13"/>
    </row>
    <row r="53" customFormat="false" ht="23.85" hidden="false" customHeight="false" outlineLevel="0" collapsed="false">
      <c r="A53" s="10" t="s">
        <v>290</v>
      </c>
      <c r="B53" s="10" t="s">
        <v>14</v>
      </c>
      <c r="C53" s="10" t="s">
        <v>218</v>
      </c>
      <c r="D53" s="10" t="s">
        <v>224</v>
      </c>
      <c r="E53" s="11" t="s">
        <v>225</v>
      </c>
      <c r="F53" s="10" t="s">
        <v>28</v>
      </c>
      <c r="G53" s="10"/>
      <c r="H53" s="10" t="s">
        <v>291</v>
      </c>
      <c r="I53" s="10" t="s">
        <v>292</v>
      </c>
      <c r="J53" s="10"/>
      <c r="K53" s="10"/>
      <c r="L53" s="12"/>
      <c r="M53" s="13" t="s">
        <v>63</v>
      </c>
      <c r="N53" s="13"/>
      <c r="O53" s="13"/>
    </row>
    <row r="54" customFormat="false" ht="23.85" hidden="false" customHeight="false" outlineLevel="0" collapsed="false">
      <c r="A54" s="10" t="s">
        <v>293</v>
      </c>
      <c r="B54" s="10" t="s">
        <v>14</v>
      </c>
      <c r="C54" s="10" t="s">
        <v>218</v>
      </c>
      <c r="D54" s="10" t="s">
        <v>229</v>
      </c>
      <c r="E54" s="11" t="s">
        <v>230</v>
      </c>
      <c r="F54" s="10" t="s">
        <v>28</v>
      </c>
      <c r="G54" s="10"/>
      <c r="H54" s="10" t="s">
        <v>294</v>
      </c>
      <c r="I54" s="10" t="s">
        <v>295</v>
      </c>
      <c r="J54" s="10"/>
      <c r="K54" s="10"/>
      <c r="L54" s="12"/>
      <c r="M54" s="13" t="s">
        <v>63</v>
      </c>
      <c r="N54" s="13"/>
      <c r="O54" s="13"/>
    </row>
    <row r="55" customFormat="false" ht="35.05" hidden="false" customHeight="false" outlineLevel="0" collapsed="false">
      <c r="A55" s="10" t="s">
        <v>296</v>
      </c>
      <c r="B55" s="10" t="s">
        <v>15</v>
      </c>
      <c r="C55" s="10" t="s">
        <v>218</v>
      </c>
      <c r="D55" s="10" t="s">
        <v>297</v>
      </c>
      <c r="E55" s="11" t="s">
        <v>298</v>
      </c>
      <c r="F55" s="10" t="s">
        <v>17</v>
      </c>
      <c r="G55" s="10" t="s">
        <v>299</v>
      </c>
      <c r="H55" s="10" t="s">
        <v>300</v>
      </c>
      <c r="I55" s="10" t="s">
        <v>66</v>
      </c>
      <c r="J55" s="10" t="s">
        <v>301</v>
      </c>
      <c r="K55" s="10" t="str">
        <f aca="false">J55&amp;" | Virtualsphere"</f>
        <v>RFID Product Categories | Virtualsphere</v>
      </c>
      <c r="L55" s="12" t="n">
        <f aca="false">IF(K55="","",LEN(K55))</f>
        <v>39</v>
      </c>
      <c r="M55" s="13" t="s">
        <v>63</v>
      </c>
      <c r="N55" s="13"/>
      <c r="O55" s="13"/>
    </row>
    <row r="56" customFormat="false" ht="35.05" hidden="false" customHeight="false" outlineLevel="0" collapsed="false">
      <c r="A56" s="10" t="s">
        <v>302</v>
      </c>
      <c r="B56" s="10" t="s">
        <v>15</v>
      </c>
      <c r="C56" s="10" t="s">
        <v>218</v>
      </c>
      <c r="D56" s="10" t="s">
        <v>303</v>
      </c>
      <c r="E56" s="11" t="s">
        <v>304</v>
      </c>
      <c r="F56" s="10" t="s">
        <v>17</v>
      </c>
      <c r="G56" s="10" t="s">
        <v>305</v>
      </c>
      <c r="H56" s="10" t="s">
        <v>306</v>
      </c>
      <c r="I56" s="10" t="s">
        <v>66</v>
      </c>
      <c r="J56" s="10" t="s">
        <v>307</v>
      </c>
      <c r="K56" s="10" t="str">
        <f aca="false">J56&amp;" | Virtualsphere"</f>
        <v>About Us – RFID Manufacturer in India | Virtualsphere</v>
      </c>
      <c r="L56" s="12" t="n">
        <f aca="false">IF(K56="","",LEN(K56))</f>
        <v>53</v>
      </c>
      <c r="M56" s="13" t="s">
        <v>63</v>
      </c>
      <c r="N56" s="13"/>
      <c r="O56" s="13"/>
    </row>
    <row r="57" customFormat="false" ht="35.05" hidden="false" customHeight="false" outlineLevel="0" collapsed="false">
      <c r="A57" s="10" t="s">
        <v>308</v>
      </c>
      <c r="B57" s="10" t="s">
        <v>15</v>
      </c>
      <c r="C57" s="10" t="s">
        <v>218</v>
      </c>
      <c r="D57" s="10" t="s">
        <v>309</v>
      </c>
      <c r="E57" s="11" t="s">
        <v>310</v>
      </c>
      <c r="F57" s="10" t="s">
        <v>17</v>
      </c>
      <c r="G57" s="10" t="s">
        <v>311</v>
      </c>
      <c r="H57" s="10" t="s">
        <v>312</v>
      </c>
      <c r="I57" s="10" t="s">
        <v>66</v>
      </c>
      <c r="J57" s="10" t="s">
        <v>313</v>
      </c>
      <c r="K57" s="10" t="str">
        <f aca="false">J57&amp;" | Virtualsphere"</f>
        <v>Contact Us – RFID Quotes &amp; Support | Virtualsphere</v>
      </c>
      <c r="L57" s="12" t="n">
        <f aca="false">IF(K57="","",LEN(K57))</f>
        <v>50</v>
      </c>
      <c r="M57" s="13" t="s">
        <v>63</v>
      </c>
      <c r="N57" s="13"/>
      <c r="O57" s="13"/>
    </row>
    <row r="58" customFormat="false" ht="57.45" hidden="false" customHeight="false" outlineLevel="0" collapsed="false">
      <c r="A58" s="10" t="s">
        <v>314</v>
      </c>
      <c r="B58" s="10" t="s">
        <v>15</v>
      </c>
      <c r="C58" s="10" t="s">
        <v>218</v>
      </c>
      <c r="D58" s="10" t="s">
        <v>309</v>
      </c>
      <c r="E58" s="11" t="s">
        <v>310</v>
      </c>
      <c r="F58" s="10" t="s">
        <v>29</v>
      </c>
      <c r="G58" s="10" t="s">
        <v>241</v>
      </c>
      <c r="H58" s="10" t="s">
        <v>315</v>
      </c>
      <c r="I58" s="10" t="s">
        <v>316</v>
      </c>
      <c r="J58" s="10" t="s">
        <v>317</v>
      </c>
      <c r="K58" s="10"/>
      <c r="L58" s="12"/>
      <c r="M58" s="13" t="s">
        <v>63</v>
      </c>
      <c r="N58" s="13"/>
      <c r="O58" s="13"/>
    </row>
    <row r="59" customFormat="false" ht="35.05" hidden="false" customHeight="false" outlineLevel="0" collapsed="false">
      <c r="A59" s="10" t="s">
        <v>318</v>
      </c>
      <c r="B59" s="10" t="s">
        <v>15</v>
      </c>
      <c r="C59" s="10" t="s">
        <v>134</v>
      </c>
      <c r="D59" s="10" t="s">
        <v>319</v>
      </c>
      <c r="E59" s="11" t="s">
        <v>320</v>
      </c>
      <c r="F59" s="10" t="s">
        <v>30</v>
      </c>
      <c r="G59" s="10" t="s">
        <v>321</v>
      </c>
      <c r="H59" s="10" t="s">
        <v>322</v>
      </c>
      <c r="I59" s="10" t="s">
        <v>323</v>
      </c>
      <c r="J59" s="10" t="s">
        <v>324</v>
      </c>
      <c r="K59" s="10" t="str">
        <f aca="false">J59&amp;" | Virtualsphere"</f>
        <v>RFID Cable Tie Tags – UHF, HF &amp; LF | Virtualsphere</v>
      </c>
      <c r="L59" s="12" t="n">
        <f aca="false">IF(K59="","",LEN(K59))</f>
        <v>50</v>
      </c>
      <c r="M59" s="13" t="s">
        <v>63</v>
      </c>
      <c r="N59" s="13"/>
      <c r="O59" s="13"/>
    </row>
    <row r="60" customFormat="false" ht="35.05" hidden="false" customHeight="false" outlineLevel="0" collapsed="false">
      <c r="A60" s="10" t="s">
        <v>325</v>
      </c>
      <c r="B60" s="10" t="s">
        <v>15</v>
      </c>
      <c r="C60" s="10" t="s">
        <v>134</v>
      </c>
      <c r="D60" s="10" t="s">
        <v>326</v>
      </c>
      <c r="E60" s="11" t="s">
        <v>327</v>
      </c>
      <c r="F60" s="10" t="s">
        <v>30</v>
      </c>
      <c r="G60" s="10" t="s">
        <v>328</v>
      </c>
      <c r="H60" s="10" t="s">
        <v>322</v>
      </c>
      <c r="I60" s="10" t="s">
        <v>323</v>
      </c>
      <c r="J60" s="10" t="s">
        <v>329</v>
      </c>
      <c r="K60" s="10" t="str">
        <f aca="false">J60&amp;" | Virtualsphere"</f>
        <v>RFID Laundry Silicon Tags, Washable UHF | Virtualsphere</v>
      </c>
      <c r="L60" s="12" t="n">
        <f aca="false">IF(K60="","",LEN(K60))</f>
        <v>55</v>
      </c>
      <c r="M60" s="13" t="s">
        <v>63</v>
      </c>
      <c r="N60" s="13"/>
      <c r="O60" s="13"/>
    </row>
    <row r="61" customFormat="false" ht="35.05" hidden="false" customHeight="false" outlineLevel="0" collapsed="false">
      <c r="A61" s="10" t="s">
        <v>330</v>
      </c>
      <c r="B61" s="10" t="s">
        <v>15</v>
      </c>
      <c r="C61" s="10" t="s">
        <v>134</v>
      </c>
      <c r="D61" s="10" t="s">
        <v>331</v>
      </c>
      <c r="E61" s="11" t="s">
        <v>332</v>
      </c>
      <c r="F61" s="10" t="s">
        <v>30</v>
      </c>
      <c r="G61" s="10" t="s">
        <v>333</v>
      </c>
      <c r="H61" s="10" t="s">
        <v>322</v>
      </c>
      <c r="I61" s="10" t="s">
        <v>323</v>
      </c>
      <c r="J61" s="10" t="s">
        <v>334</v>
      </c>
      <c r="K61" s="10" t="str">
        <f aca="false">J61&amp;" | Virtualsphere"</f>
        <v>VS Ferric-100 UHF On-Metal RFID Tags | Virtualsphere</v>
      </c>
      <c r="L61" s="12" t="n">
        <f aca="false">IF(K61="","",LEN(K61))</f>
        <v>52</v>
      </c>
      <c r="M61" s="13" t="s">
        <v>63</v>
      </c>
      <c r="N61" s="13"/>
      <c r="O61" s="13"/>
    </row>
    <row r="62" customFormat="false" ht="35.05" hidden="false" customHeight="false" outlineLevel="0" collapsed="false">
      <c r="A62" s="10" t="s">
        <v>335</v>
      </c>
      <c r="B62" s="10" t="s">
        <v>15</v>
      </c>
      <c r="C62" s="10" t="s">
        <v>134</v>
      </c>
      <c r="D62" s="10" t="s">
        <v>336</v>
      </c>
      <c r="E62" s="11" t="s">
        <v>337</v>
      </c>
      <c r="F62" s="10" t="s">
        <v>30</v>
      </c>
      <c r="G62" s="10" t="s">
        <v>338</v>
      </c>
      <c r="H62" s="10" t="s">
        <v>322</v>
      </c>
      <c r="I62" s="10" t="s">
        <v>323</v>
      </c>
      <c r="J62" s="10" t="s">
        <v>339</v>
      </c>
      <c r="K62" s="10" t="str">
        <f aca="false">J62&amp;" | Virtualsphere"</f>
        <v>VSL-A1 Android UHF RFID Fixed Reader | Virtualsphere</v>
      </c>
      <c r="L62" s="12" t="n">
        <f aca="false">IF(K62="","",LEN(K62))</f>
        <v>52</v>
      </c>
      <c r="M62" s="13" t="s">
        <v>63</v>
      </c>
      <c r="N62" s="13"/>
      <c r="O62" s="13"/>
    </row>
    <row r="63" customFormat="false" ht="35.05" hidden="false" customHeight="false" outlineLevel="0" collapsed="false">
      <c r="A63" s="10" t="s">
        <v>340</v>
      </c>
      <c r="B63" s="10" t="s">
        <v>15</v>
      </c>
      <c r="C63" s="10" t="s">
        <v>134</v>
      </c>
      <c r="D63" s="10" t="s">
        <v>341</v>
      </c>
      <c r="E63" s="11" t="s">
        <v>342</v>
      </c>
      <c r="F63" s="10" t="s">
        <v>30</v>
      </c>
      <c r="G63" s="10" t="s">
        <v>343</v>
      </c>
      <c r="H63" s="10" t="s">
        <v>322</v>
      </c>
      <c r="I63" s="10" t="s">
        <v>323</v>
      </c>
      <c r="J63" s="10" t="s">
        <v>344</v>
      </c>
      <c r="K63" s="10" t="str">
        <f aca="false">J63&amp;" | Virtualsphere"</f>
        <v>VST-9662 Printable UHF RFID Labels | Virtualsphere</v>
      </c>
      <c r="L63" s="12" t="n">
        <f aca="false">IF(K63="","",LEN(K63))</f>
        <v>50</v>
      </c>
      <c r="M63" s="13" t="s">
        <v>63</v>
      </c>
      <c r="N63" s="13"/>
      <c r="O63" s="13"/>
    </row>
    <row r="64" customFormat="false" ht="35.05" hidden="false" customHeight="false" outlineLevel="0" collapsed="false">
      <c r="A64" s="10" t="s">
        <v>345</v>
      </c>
      <c r="B64" s="10" t="s">
        <v>15</v>
      </c>
      <c r="C64" s="10" t="s">
        <v>134</v>
      </c>
      <c r="D64" s="10" t="s">
        <v>346</v>
      </c>
      <c r="E64" s="11" t="s">
        <v>347</v>
      </c>
      <c r="F64" s="10" t="s">
        <v>30</v>
      </c>
      <c r="G64" s="10" t="s">
        <v>348</v>
      </c>
      <c r="H64" s="10" t="s">
        <v>322</v>
      </c>
      <c r="I64" s="10" t="s">
        <v>323</v>
      </c>
      <c r="J64" s="10" t="s">
        <v>349</v>
      </c>
      <c r="K64" s="10" t="str">
        <f aca="false">J64&amp;" | Virtualsphere"</f>
        <v>RFID Laundry Textile Tags, Washable UHF | Virtualsphere</v>
      </c>
      <c r="L64" s="12" t="n">
        <f aca="false">IF(K64="","",LEN(K64))</f>
        <v>55</v>
      </c>
      <c r="M64" s="13" t="s">
        <v>63</v>
      </c>
      <c r="N64" s="13"/>
      <c r="O64" s="13"/>
    </row>
    <row r="65" customFormat="false" ht="35.05" hidden="false" customHeight="false" outlineLevel="0" collapsed="false">
      <c r="A65" s="10" t="s">
        <v>350</v>
      </c>
      <c r="B65" s="10" t="s">
        <v>15</v>
      </c>
      <c r="C65" s="10" t="s">
        <v>134</v>
      </c>
      <c r="D65" s="10" t="s">
        <v>351</v>
      </c>
      <c r="E65" s="11" t="s">
        <v>352</v>
      </c>
      <c r="F65" s="10" t="s">
        <v>30</v>
      </c>
      <c r="G65" s="10" t="s">
        <v>353</v>
      </c>
      <c r="H65" s="10" t="s">
        <v>322</v>
      </c>
      <c r="I65" s="10" t="s">
        <v>323</v>
      </c>
      <c r="J65" s="10" t="s">
        <v>354</v>
      </c>
      <c r="K65" s="10" t="str">
        <f aca="false">J65&amp;" | Virtualsphere"</f>
        <v>VST-9640 Slim UHF RFID Inlays, Higgs-3 | Virtualsphere</v>
      </c>
      <c r="L65" s="12" t="n">
        <f aca="false">IF(K65="","",LEN(K65))</f>
        <v>54</v>
      </c>
      <c r="M65" s="13" t="s">
        <v>63</v>
      </c>
      <c r="N65" s="13"/>
      <c r="O65" s="13"/>
    </row>
    <row r="66" customFormat="false" ht="35.05" hidden="false" customHeight="false" outlineLevel="0" collapsed="false">
      <c r="A66" s="10" t="s">
        <v>355</v>
      </c>
      <c r="B66" s="10" t="s">
        <v>15</v>
      </c>
      <c r="C66" s="10" t="s">
        <v>134</v>
      </c>
      <c r="D66" s="10" t="s">
        <v>356</v>
      </c>
      <c r="E66" s="11" t="s">
        <v>357</v>
      </c>
      <c r="F66" s="10" t="s">
        <v>30</v>
      </c>
      <c r="G66" s="10" t="s">
        <v>358</v>
      </c>
      <c r="H66" s="10" t="s">
        <v>322</v>
      </c>
      <c r="I66" s="10" t="s">
        <v>323</v>
      </c>
      <c r="J66" s="10" t="s">
        <v>359</v>
      </c>
      <c r="K66" s="10" t="str">
        <f aca="false">J66&amp;" | Virtualsphere"</f>
        <v>Dogbone UHF RFID Inlays, Impinj M730 | Virtualsphere</v>
      </c>
      <c r="L66" s="12" t="n">
        <f aca="false">IF(K66="","",LEN(K66))</f>
        <v>52</v>
      </c>
      <c r="M66" s="13" t="s">
        <v>63</v>
      </c>
      <c r="N66" s="13"/>
      <c r="O66" s="13"/>
    </row>
    <row r="67" customFormat="false" ht="35.05" hidden="false" customHeight="false" outlineLevel="0" collapsed="false">
      <c r="A67" s="10" t="s">
        <v>360</v>
      </c>
      <c r="B67" s="10" t="s">
        <v>15</v>
      </c>
      <c r="C67" s="10" t="s">
        <v>134</v>
      </c>
      <c r="D67" s="10" t="s">
        <v>187</v>
      </c>
      <c r="E67" s="11" t="s">
        <v>188</v>
      </c>
      <c r="F67" s="10" t="s">
        <v>30</v>
      </c>
      <c r="G67" s="10" t="s">
        <v>189</v>
      </c>
      <c r="H67" s="10" t="s">
        <v>322</v>
      </c>
      <c r="I67" s="10" t="s">
        <v>323</v>
      </c>
      <c r="J67" s="10" t="s">
        <v>190</v>
      </c>
      <c r="K67" s="10" t="str">
        <f aca="false">J67&amp;" | Virtualsphere"</f>
        <v>UA12 12dBi Circular UHF RFID Antenna | Virtualsphere</v>
      </c>
      <c r="L67" s="12" t="n">
        <f aca="false">IF(K67="","",LEN(K67))</f>
        <v>52</v>
      </c>
      <c r="M67" s="13" t="s">
        <v>63</v>
      </c>
      <c r="N67" s="13"/>
      <c r="O67" s="13"/>
    </row>
    <row r="68" customFormat="false" ht="46.25" hidden="false" customHeight="false" outlineLevel="0" collapsed="false">
      <c r="A68" s="10" t="s">
        <v>361</v>
      </c>
      <c r="B68" s="10" t="s">
        <v>15</v>
      </c>
      <c r="C68" s="10" t="s">
        <v>134</v>
      </c>
      <c r="D68" s="10" t="s">
        <v>275</v>
      </c>
      <c r="E68" s="11" t="s">
        <v>276</v>
      </c>
      <c r="F68" s="10" t="s">
        <v>31</v>
      </c>
      <c r="G68" s="10" t="s">
        <v>362</v>
      </c>
      <c r="H68" s="10" t="s">
        <v>363</v>
      </c>
      <c r="I68" s="10" t="s">
        <v>198</v>
      </c>
      <c r="J68" s="10" t="s">
        <v>364</v>
      </c>
      <c r="K68" s="10" t="str">
        <f aca="false">J68&amp;" | Virtualsphere"</f>
        <v>HRP 70 13.56MHz HF RFID USB Pendrive Reader | Virtualsphere</v>
      </c>
      <c r="L68" s="12" t="n">
        <f aca="false">IF(K68="","",LEN(K68))</f>
        <v>59</v>
      </c>
      <c r="M68" s="13" t="s">
        <v>63</v>
      </c>
      <c r="N68" s="13"/>
      <c r="O68" s="13"/>
    </row>
    <row r="69" customFormat="false" ht="46.25" hidden="false" customHeight="false" outlineLevel="0" collapsed="false">
      <c r="A69" s="10" t="s">
        <v>365</v>
      </c>
      <c r="B69" s="10" t="s">
        <v>15</v>
      </c>
      <c r="C69" s="10" t="s">
        <v>134</v>
      </c>
      <c r="D69" s="10" t="s">
        <v>254</v>
      </c>
      <c r="E69" s="11" t="s">
        <v>255</v>
      </c>
      <c r="F69" s="10" t="s">
        <v>31</v>
      </c>
      <c r="G69" s="10" t="s">
        <v>366</v>
      </c>
      <c r="H69" s="10" t="s">
        <v>367</v>
      </c>
      <c r="I69" s="10" t="s">
        <v>198</v>
      </c>
      <c r="J69" s="10" t="s">
        <v>368</v>
      </c>
      <c r="K69" s="10" t="str">
        <f aca="false">J69&amp;" | Virtualsphere"</f>
        <v>UHR 72 UHF RFID Handheld Reader | Virtualsphere</v>
      </c>
      <c r="L69" s="12" t="n">
        <f aca="false">IF(K69="","",LEN(K69))</f>
        <v>47</v>
      </c>
      <c r="M69" s="13" t="s">
        <v>63</v>
      </c>
      <c r="N69" s="13"/>
      <c r="O69" s="13"/>
    </row>
    <row r="70" customFormat="false" ht="46.25" hidden="false" customHeight="false" outlineLevel="0" collapsed="false">
      <c r="A70" s="10" t="s">
        <v>369</v>
      </c>
      <c r="B70" s="10" t="s">
        <v>15</v>
      </c>
      <c r="C70" s="10" t="s">
        <v>134</v>
      </c>
      <c r="D70" s="10" t="s">
        <v>260</v>
      </c>
      <c r="E70" s="11" t="s">
        <v>261</v>
      </c>
      <c r="F70" s="10" t="s">
        <v>31</v>
      </c>
      <c r="G70" s="10" t="s">
        <v>370</v>
      </c>
      <c r="H70" s="10" t="s">
        <v>371</v>
      </c>
      <c r="I70" s="10" t="s">
        <v>198</v>
      </c>
      <c r="J70" s="10" t="s">
        <v>372</v>
      </c>
      <c r="K70" s="10" t="str">
        <f aca="false">J70&amp;" | Virtualsphere"</f>
        <v>UDM9R Long Range Integrated UHF RFID Reader | Virtualsphere</v>
      </c>
      <c r="L70" s="12" t="n">
        <f aca="false">IF(K70="","",LEN(K70))</f>
        <v>59</v>
      </c>
      <c r="M70" s="13" t="s">
        <v>63</v>
      </c>
      <c r="N70" s="13"/>
      <c r="O70" s="13"/>
    </row>
    <row r="71" customFormat="false" ht="46.25" hidden="false" customHeight="false" outlineLevel="0" collapsed="false">
      <c r="A71" s="10" t="s">
        <v>373</v>
      </c>
      <c r="B71" s="10" t="s">
        <v>15</v>
      </c>
      <c r="C71" s="10" t="s">
        <v>134</v>
      </c>
      <c r="D71" s="10" t="s">
        <v>265</v>
      </c>
      <c r="E71" s="11" t="s">
        <v>266</v>
      </c>
      <c r="F71" s="10" t="s">
        <v>31</v>
      </c>
      <c r="G71" s="10" t="s">
        <v>374</v>
      </c>
      <c r="H71" s="10" t="s">
        <v>375</v>
      </c>
      <c r="I71" s="10" t="s">
        <v>198</v>
      </c>
      <c r="J71" s="10" t="s">
        <v>376</v>
      </c>
      <c r="K71" s="10" t="str">
        <f aca="false">J71&amp;" | Virtualsphere"</f>
        <v>UDM12R Impinj Integrated UHF RFID Reader | Virtualsphere</v>
      </c>
      <c r="L71" s="12" t="n">
        <f aca="false">IF(K71="","",LEN(K71))</f>
        <v>56</v>
      </c>
      <c r="M71" s="13" t="s">
        <v>63</v>
      </c>
      <c r="N71" s="13"/>
      <c r="O71" s="13"/>
    </row>
    <row r="72" customFormat="false" ht="46.25" hidden="false" customHeight="false" outlineLevel="0" collapsed="false">
      <c r="A72" s="10" t="s">
        <v>377</v>
      </c>
      <c r="B72" s="10" t="s">
        <v>15</v>
      </c>
      <c r="C72" s="10" t="s">
        <v>134</v>
      </c>
      <c r="D72" s="10" t="s">
        <v>270</v>
      </c>
      <c r="E72" s="11" t="s">
        <v>271</v>
      </c>
      <c r="F72" s="10" t="s">
        <v>31</v>
      </c>
      <c r="G72" s="10" t="s">
        <v>378</v>
      </c>
      <c r="H72" s="10" t="s">
        <v>379</v>
      </c>
      <c r="I72" s="10" t="s">
        <v>198</v>
      </c>
      <c r="J72" s="10" t="s">
        <v>380</v>
      </c>
      <c r="K72" s="10" t="str">
        <f aca="false">J72&amp;" | Virtualsphere"</f>
        <v>UDR 107 Long Range UHF RFID Desktop Reader | Virtualsphere</v>
      </c>
      <c r="L72" s="12" t="n">
        <f aca="false">IF(K72="","",LEN(K72))</f>
        <v>58</v>
      </c>
      <c r="M72" s="13" t="s">
        <v>63</v>
      </c>
      <c r="N72" s="13"/>
      <c r="O72" s="13"/>
    </row>
    <row r="73" customFormat="false" ht="57.45" hidden="false" customHeight="false" outlineLevel="0" collapsed="false">
      <c r="A73" s="10" t="s">
        <v>381</v>
      </c>
      <c r="B73" s="10" t="s">
        <v>15</v>
      </c>
      <c r="C73" s="10" t="s">
        <v>134</v>
      </c>
      <c r="D73" s="10" t="s">
        <v>382</v>
      </c>
      <c r="E73" s="11" t="s">
        <v>383</v>
      </c>
      <c r="F73" s="10" t="s">
        <v>32</v>
      </c>
      <c r="G73" s="10" t="s">
        <v>241</v>
      </c>
      <c r="H73" s="10" t="s">
        <v>384</v>
      </c>
      <c r="I73" s="10" t="s">
        <v>243</v>
      </c>
      <c r="J73" s="10" t="s">
        <v>385</v>
      </c>
      <c r="K73" s="10"/>
      <c r="L73" s="12"/>
      <c r="M73" s="13" t="s">
        <v>63</v>
      </c>
      <c r="N73" s="13"/>
      <c r="O73" s="13"/>
    </row>
    <row r="74" customFormat="false" ht="57.45" hidden="false" customHeight="false" outlineLevel="0" collapsed="false">
      <c r="A74" s="10" t="s">
        <v>386</v>
      </c>
      <c r="B74" s="10" t="s">
        <v>15</v>
      </c>
      <c r="C74" s="10" t="s">
        <v>134</v>
      </c>
      <c r="D74" s="10" t="s">
        <v>326</v>
      </c>
      <c r="E74" s="11" t="s">
        <v>327</v>
      </c>
      <c r="F74" s="10" t="s">
        <v>32</v>
      </c>
      <c r="G74" s="10" t="s">
        <v>241</v>
      </c>
      <c r="H74" s="10" t="s">
        <v>387</v>
      </c>
      <c r="I74" s="10" t="s">
        <v>243</v>
      </c>
      <c r="J74" s="10" t="s">
        <v>388</v>
      </c>
      <c r="K74" s="10"/>
      <c r="L74" s="12"/>
      <c r="M74" s="13" t="s">
        <v>63</v>
      </c>
      <c r="N74" s="13"/>
      <c r="O74" s="13"/>
    </row>
  </sheetData>
  <autoFilter ref="A1:O74"/>
  <conditionalFormatting sqref="B2:B74">
    <cfRule type="cellIs" priority="2" operator="equal" aboveAverage="0" equalAverage="0" bottom="0" percent="0" rank="0" text="" dxfId="8">
      <formula>"High"</formula>
    </cfRule>
    <cfRule type="cellIs" priority="3" operator="equal" aboveAverage="0" equalAverage="0" bottom="0" percent="0" rank="0" text="" dxfId="9">
      <formula>"Medium"</formula>
    </cfRule>
    <cfRule type="cellIs" priority="4" operator="equal" aboveAverage="0" equalAverage="0" bottom="0" percent="0" rank="0" text="" dxfId="10">
      <formula>"Low"</formula>
    </cfRule>
  </conditionalFormatting>
  <conditionalFormatting sqref="L2:L74">
    <cfRule type="expression" priority="5" aboveAverage="0" equalAverage="0" bottom="0" percent="0" rank="0" text="" dxfId="8">
      <formula>AND(ISNUMBER(L2),L2&gt;60)</formula>
    </cfRule>
  </conditionalFormatting>
  <conditionalFormatting sqref="M2:M74">
    <cfRule type="expression" priority="6" aboveAverage="0" equalAverage="0" bottom="0" percent="0" rank="0" text="" dxfId="10">
      <formula>OR(M2="Fixed",M2="Verified")</formula>
    </cfRule>
  </conditionalFormatting>
  <dataValidations count="1">
    <dataValidation allowBlank="true" errorStyle="stop" operator="between" showDropDown="false" showErrorMessage="false" showInputMessage="false" sqref="M2:M74" type="list">
      <formula1>"Open,In Progress,Fixed,Verified"</formula1>
      <formula2>0</formula2>
    </dataValidation>
  </dataValidations>
  <hyperlinks>
    <hyperlink ref="E2" r:id="rId1" display="https://indiarfidshop.com/"/>
    <hyperlink ref="E3" r:id="rId2" display="https://indiarfidshop.com/"/>
    <hyperlink ref="E4" r:id="rId3" display="https://indiarfidshop.com/products?category=barcode-printers"/>
    <hyperlink ref="E5" r:id="rId4" display="https://indiarfidshop.com/products?category=integrated-reader"/>
    <hyperlink ref="E6" r:id="rId5" display="https://indiarfidshop.com/products?category=four-port-reader"/>
    <hyperlink ref="E7" r:id="rId6" display="https://indiarfidshop.com/products?category=raid-tags"/>
    <hyperlink ref="E8" r:id="rId7" display="https://indiarfidshop.com/products?category=Rfid-uhf-label-tags"/>
    <hyperlink ref="E9" r:id="rId8" display="https://indiarfidshop.com/products?category=rfid-laundary-tags"/>
    <hyperlink ref="E10" r:id="rId9" display="https://indiarfidshop.com/products?category=rfid-uhf-inlay"/>
    <hyperlink ref="E11" r:id="rId10" display="https://indiarfidshop.com/products?category=uhf-rfid-tags"/>
    <hyperlink ref="E12" r:id="rId11" display="https://indiarfidshop.com/products?category=rfid-uhf-antenna"/>
    <hyperlink ref="E13" r:id="rId12" display="https://indiarfidshop.com/products?category=handheld-reader"/>
    <hyperlink ref="E14" r:id="rId13" display="https://indiarfidshop.com/products?category=uhf-desktop-reader"/>
    <hyperlink ref="E15" r:id="rId14" display="https://indiarfidshop.com/products?category=hf-rfid-desktop-reader"/>
    <hyperlink ref="E16" r:id="rId15" display="https://indiarfidshop.com/products?category=rfid-lf-and-hf-pendrive-reader"/>
    <hyperlink ref="E17" r:id="rId16" display="https://indiarfidshop.com/products/desktop-barcode-printer"/>
    <hyperlink ref="E18" r:id="rId17" display="https://indiarfidshop.com/products/hrd-13"/>
    <hyperlink ref="E19" r:id="rId18" display="https://indiarfidshop.com/products/lrp-70-pendrive-reader"/>
    <hyperlink ref="E20" r:id="rId19" display="https://indiarfidshop.com/products/ua9"/>
    <hyperlink ref="E21" r:id="rId20" display="https://indiarfidshop.com/products/uca3"/>
    <hyperlink ref="E22" r:id="rId21" display="https://indiarfidshop.com/products/udr-w101-uhf-rfid-desktop-reader-writer"/>
    <hyperlink ref="E23" r:id="rId22" display="https://indiarfidshop.com/products/udt9r-rfid-jewellery-tray-reader"/>
    <hyperlink ref="E24" r:id="rId23" display="https://indiarfidshop.com/products/uhr2-uhf-rfid-handheld-reader"/>
    <hyperlink ref="E25" r:id="rId24" display="https://indiarfidshop.com/products/vst-9662-rfid-uhf-inlay-higgs-3"/>
    <hyperlink ref="E26" r:id="rId25" display="https://indiarfidshop.com/products/pbr3-bluetooth-uhf-rfid-portable-reader"/>
    <hyperlink ref="E27" r:id="rId26" display="https://indiarfidshop.com/products/ua12"/>
    <hyperlink ref="E28" r:id="rId27" display="https://indiarfidshop.com/products/uhr-5"/>
    <hyperlink ref="E29" r:id="rId28" display="https://indiarfidshop.com/products/hrd-13"/>
    <hyperlink ref="E30" r:id="rId29" display="https://indiarfidshop.com/products/ua9"/>
    <hyperlink ref="E31" r:id="rId30" display="https://indiarfidshop.com/products/uca3"/>
    <hyperlink ref="E32" r:id="rId31" display="https://indiarfidshop.com/products/lrp-70-pendrive-reader"/>
    <hyperlink ref="E33" r:id="rId32" display="https://indiarfidshop.com/products/uhr-5"/>
    <hyperlink ref="E34" r:id="rId33" display="https://indiarfidshop.com/products/udr-102"/>
    <hyperlink ref="E36" r:id="rId34" display="https://indiarfidshop.com/products"/>
    <hyperlink ref="E37" r:id="rId35" display="https://indiarfidshop.com/privacy"/>
    <hyperlink ref="E38" r:id="rId36" display="https://indiarfidshop.com/terms"/>
    <hyperlink ref="E39" r:id="rId37" display="https://indiarfidshop.com/products?category=raid-tags"/>
    <hyperlink ref="E40" r:id="rId38" display="https://indiarfidshop.com/products?category=rfid-laundary-tags"/>
    <hyperlink ref="E41" r:id="rId39" display="https://indiarfidshop.com/products/udr-w101-uhf-rfid-desktop-reader-writer"/>
    <hyperlink ref="E42" r:id="rId40" display="https://indiarfidshop.com/products/udt9r-rfid-jewellery-tray-reader"/>
    <hyperlink ref="E43" r:id="rId41" display="https://indiarfidshop.com/products/uhr2-uhf-rfid-handheld-reader"/>
    <hyperlink ref="E44" r:id="rId42" display="https://indiarfidshop.com/products/vsl-f2-uhf-rfid-4-port-reader"/>
    <hyperlink ref="E45" r:id="rId43" display="https://indiarfidshop.com/products/uhr-72"/>
    <hyperlink ref="E46" r:id="rId44" display="https://indiarfidshop.com/products/udm9r-Integrated-reader"/>
    <hyperlink ref="E47" r:id="rId45" display="https://indiarfidshop.com/products/udm12r-uhf-Integrated-reader"/>
    <hyperlink ref="E48" r:id="rId46" display="https://indiarfidshop.com/products/udr-107"/>
    <hyperlink ref="E49" r:id="rId47" display="https://indiarfidshop.com/products/hrp-70-pendrive-reader"/>
    <hyperlink ref="E50" r:id="rId48" display="https://indiarfidshop.com/products/udr-102"/>
    <hyperlink ref="E53" r:id="rId49" display="https://indiarfidshop.com/privacy"/>
    <hyperlink ref="E54" r:id="rId50" display="https://indiarfidshop.com/terms"/>
    <hyperlink ref="E55" r:id="rId51" display="https://indiarfidshop.com/categories"/>
    <hyperlink ref="E56" r:id="rId52" display="https://indiarfidshop.com/about"/>
    <hyperlink ref="E57" r:id="rId53" display="https://indiarfidshop.com/contact"/>
    <hyperlink ref="E58" r:id="rId54" display="https://indiarfidshop.com/contact"/>
    <hyperlink ref="E59" r:id="rId55" display="https://indiarfidshop.com/products/RFID-Cable-Tie-uhf-Tags"/>
    <hyperlink ref="E60" r:id="rId56" display="https://indiarfidshop.com/products/RFID-silicon-tags-UHF-laundary-tags"/>
    <hyperlink ref="E61" r:id="rId57" display="https://indiarfidshop.com/products/RFID-Ferric-100-Metal-UHF-Tags"/>
    <hyperlink ref="E62" r:id="rId58" display="https://indiarfidshop.com/products/vsl-a1"/>
    <hyperlink ref="E63" r:id="rId59" display="https://indiarfidshop.com/products/vst-9662-rfid-uhf-labels"/>
    <hyperlink ref="E64" r:id="rId60" display="https://indiarfidshop.com/products/RFID-Laundry-Textile-Tags"/>
    <hyperlink ref="E65" r:id="rId61" display="https://indiarfidshop.com/products/vst-9640-rfid-uhf-inlays"/>
    <hyperlink ref="E66" r:id="rId62" display="https://indiarfidshop.com/products/dogbone-rfid-uhf-inlays"/>
    <hyperlink ref="E67" r:id="rId63" display="https://indiarfidshop.com/products/ua12"/>
    <hyperlink ref="E68" r:id="rId64" display="https://indiarfidshop.com/products/hrp-70-pendrive-reader"/>
    <hyperlink ref="E69" r:id="rId65" display="https://indiarfidshop.com/products/uhr-72"/>
    <hyperlink ref="E70" r:id="rId66" display="https://indiarfidshop.com/products/udm9r-Integrated-reader"/>
    <hyperlink ref="E71" r:id="rId67" display="https://indiarfidshop.com/products/udm12r-uhf-Integrated-reader"/>
    <hyperlink ref="E72" r:id="rId68" display="https://indiarfidshop.com/products/udr-107"/>
    <hyperlink ref="E73" r:id="rId69" display="https://indiarfidshop.com/products/udr-w105-uhf-rfid-desktop-reader-writer"/>
    <hyperlink ref="E74" r:id="rId70" display="https://indiarfidshop.com/products/RFID-silicon-tags-UHF-laundary-tag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70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10" min="9" style="0" width="10"/>
    <col collapsed="false" customWidth="true" hidden="false" outlineLevel="0" max="11" min="11" style="0" width="11"/>
  </cols>
  <sheetData>
    <row r="1" customFormat="false" ht="35.05" hidden="false" customHeight="false" outlineLevel="0" collapsed="false">
      <c r="A1" s="9" t="s">
        <v>42</v>
      </c>
      <c r="B1" s="9" t="s">
        <v>43</v>
      </c>
      <c r="C1" s="9" t="s">
        <v>44</v>
      </c>
      <c r="D1" s="9" t="s">
        <v>389</v>
      </c>
      <c r="E1" s="9" t="s">
        <v>390</v>
      </c>
      <c r="F1" s="9" t="s">
        <v>391</v>
      </c>
      <c r="G1" s="9" t="s">
        <v>392</v>
      </c>
      <c r="H1" s="9" t="s">
        <v>393</v>
      </c>
      <c r="I1" s="9" t="s">
        <v>394</v>
      </c>
      <c r="J1" s="9" t="s">
        <v>395</v>
      </c>
      <c r="K1" s="9" t="s">
        <v>396</v>
      </c>
    </row>
    <row r="2" customFormat="false" ht="15" hidden="false" customHeight="false" outlineLevel="0" collapsed="false">
      <c r="A2" s="10" t="s">
        <v>56</v>
      </c>
      <c r="B2" s="10" t="s">
        <v>57</v>
      </c>
      <c r="C2" s="11" t="s">
        <v>58</v>
      </c>
      <c r="D2" s="10" t="s">
        <v>59</v>
      </c>
      <c r="E2" s="10" t="n">
        <f aca="false">LEN(D2)</f>
        <v>57</v>
      </c>
      <c r="F2" s="12" t="n">
        <f aca="false">(LEN(D2)-LEN(SUBSTITUTE(D2,"Virtualsphere","")))/LEN("Virtualsphere")</f>
        <v>2</v>
      </c>
      <c r="G2" s="12" t="str">
        <f aca="false">IF(E2&gt;60,"Too long",IF(E2&lt;30,"Too short","OK"))</f>
        <v>OK</v>
      </c>
      <c r="H2" s="10" t="str">
        <f aca="false">IF(COUNTIF($D$2:$D$50,D2)&gt;1,"Duplicate","Unique")</f>
        <v>Unique</v>
      </c>
      <c r="I2" s="10" t="n">
        <f aca="false">COUNTIF(Issues!$E$2:$E$74,C2)</f>
        <v>2</v>
      </c>
      <c r="J2" s="10" t="n">
        <f aca="false">COUNTIFS(Issues!$E$2:$E$74,C2,Issues!$M$2:$M$74,"&lt;&gt;Fixed",Issues!$M$2:$M$74,"&lt;&gt;Verified")</f>
        <v>2</v>
      </c>
      <c r="K2" s="10" t="str">
        <f aca="false">IF(J2&gt;0,"Needs fix","OK")</f>
        <v>Needs fix</v>
      </c>
    </row>
    <row r="3" customFormat="false" ht="15" hidden="false" customHeight="false" outlineLevel="0" collapsed="false">
      <c r="A3" s="10" t="s">
        <v>218</v>
      </c>
      <c r="B3" s="10" t="s">
        <v>219</v>
      </c>
      <c r="C3" s="11" t="s">
        <v>220</v>
      </c>
      <c r="D3" s="10" t="s">
        <v>71</v>
      </c>
      <c r="E3" s="10" t="n">
        <f aca="false">LEN(D3)</f>
        <v>24</v>
      </c>
      <c r="F3" s="12" t="n">
        <f aca="false">(LEN(D3)-LEN(SUBSTITUTE(D3,"Virtualsphere","")))/LEN("Virtualsphere")</f>
        <v>1</v>
      </c>
      <c r="G3" s="12" t="str">
        <f aca="false">IF(E3&gt;60,"Too long",IF(E3&lt;30,"Too short","OK"))</f>
        <v>Too short</v>
      </c>
      <c r="H3" s="10" t="str">
        <f aca="false">IF(COUNTIF($D$2:$D$50,D3)&gt;1,"Duplicate","Unique")</f>
        <v>Duplicate</v>
      </c>
      <c r="I3" s="10" t="n">
        <f aca="false">COUNTIF(Issues!$E$2:$E$74,C3)</f>
        <v>1</v>
      </c>
      <c r="J3" s="10" t="n">
        <f aca="false">COUNTIFS(Issues!$E$2:$E$74,C3,Issues!$M$2:$M$74,"&lt;&gt;Fixed",Issues!$M$2:$M$74,"&lt;&gt;Verified")</f>
        <v>1</v>
      </c>
      <c r="K3" s="10" t="str">
        <f aca="false">IF(J3&gt;0,"Needs fix","OK")</f>
        <v>Needs fix</v>
      </c>
    </row>
    <row r="4" customFormat="false" ht="15" hidden="false" customHeight="false" outlineLevel="0" collapsed="false">
      <c r="A4" s="10" t="s">
        <v>218</v>
      </c>
      <c r="B4" s="10" t="s">
        <v>297</v>
      </c>
      <c r="C4" s="11" t="s">
        <v>298</v>
      </c>
      <c r="D4" s="10" t="s">
        <v>299</v>
      </c>
      <c r="E4" s="10" t="n">
        <f aca="false">LEN(D4)</f>
        <v>26</v>
      </c>
      <c r="F4" s="12" t="n">
        <f aca="false">(LEN(D4)-LEN(SUBSTITUTE(D4,"Virtualsphere","")))/LEN("Virtualsphere")</f>
        <v>1</v>
      </c>
      <c r="G4" s="12" t="str">
        <f aca="false">IF(E4&gt;60,"Too long",IF(E4&lt;30,"Too short","OK"))</f>
        <v>Too short</v>
      </c>
      <c r="H4" s="10" t="str">
        <f aca="false">IF(COUNTIF($D$2:$D$50,D4)&gt;1,"Duplicate","Unique")</f>
        <v>Unique</v>
      </c>
      <c r="I4" s="10" t="n">
        <f aca="false">COUNTIF(Issues!$E$2:$E$74,C4)</f>
        <v>1</v>
      </c>
      <c r="J4" s="10" t="n">
        <f aca="false">COUNTIFS(Issues!$E$2:$E$74,C4,Issues!$M$2:$M$74,"&lt;&gt;Fixed",Issues!$M$2:$M$74,"&lt;&gt;Verified")</f>
        <v>1</v>
      </c>
      <c r="K4" s="10" t="str">
        <f aca="false">IF(J4&gt;0,"Needs fix","OK")</f>
        <v>Needs fix</v>
      </c>
    </row>
    <row r="5" customFormat="false" ht="15" hidden="false" customHeight="false" outlineLevel="0" collapsed="false">
      <c r="A5" s="10" t="s">
        <v>218</v>
      </c>
      <c r="B5" s="10" t="s">
        <v>303</v>
      </c>
      <c r="C5" s="11" t="s">
        <v>304</v>
      </c>
      <c r="D5" s="10" t="s">
        <v>305</v>
      </c>
      <c r="E5" s="10" t="n">
        <f aca="false">LEN(D5)</f>
        <v>24</v>
      </c>
      <c r="F5" s="12" t="n">
        <f aca="false">(LEN(D5)-LEN(SUBSTITUTE(D5,"Virtualsphere","")))/LEN("Virtualsphere")</f>
        <v>1</v>
      </c>
      <c r="G5" s="12" t="str">
        <f aca="false">IF(E5&gt;60,"Too long",IF(E5&lt;30,"Too short","OK"))</f>
        <v>Too short</v>
      </c>
      <c r="H5" s="10" t="str">
        <f aca="false">IF(COUNTIF($D$2:$D$50,D5)&gt;1,"Duplicate","Unique")</f>
        <v>Unique</v>
      </c>
      <c r="I5" s="10" t="n">
        <f aca="false">COUNTIF(Issues!$E$2:$E$74,C5)</f>
        <v>1</v>
      </c>
      <c r="J5" s="10" t="n">
        <f aca="false">COUNTIFS(Issues!$E$2:$E$74,C5,Issues!$M$2:$M$74,"&lt;&gt;Fixed",Issues!$M$2:$M$74,"&lt;&gt;Verified")</f>
        <v>1</v>
      </c>
      <c r="K5" s="10" t="str">
        <f aca="false">IF(J5&gt;0,"Needs fix","OK")</f>
        <v>Needs fix</v>
      </c>
    </row>
    <row r="6" customFormat="false" ht="15" hidden="false" customHeight="false" outlineLevel="0" collapsed="false">
      <c r="A6" s="10" t="s">
        <v>218</v>
      </c>
      <c r="B6" s="10" t="s">
        <v>309</v>
      </c>
      <c r="C6" s="11" t="s">
        <v>310</v>
      </c>
      <c r="D6" s="10" t="s">
        <v>311</v>
      </c>
      <c r="E6" s="10" t="n">
        <f aca="false">LEN(D6)</f>
        <v>23</v>
      </c>
      <c r="F6" s="12" t="n">
        <f aca="false">(LEN(D6)-LEN(SUBSTITUTE(D6,"Virtualsphere","")))/LEN("Virtualsphere")</f>
        <v>1</v>
      </c>
      <c r="G6" s="12" t="str">
        <f aca="false">IF(E6&gt;60,"Too long",IF(E6&lt;30,"Too short","OK"))</f>
        <v>Too short</v>
      </c>
      <c r="H6" s="10" t="str">
        <f aca="false">IF(COUNTIF($D$2:$D$50,D6)&gt;1,"Duplicate","Unique")</f>
        <v>Unique</v>
      </c>
      <c r="I6" s="10" t="n">
        <f aca="false">COUNTIF(Issues!$E$2:$E$74,C6)</f>
        <v>2</v>
      </c>
      <c r="J6" s="10" t="n">
        <f aca="false">COUNTIFS(Issues!$E$2:$E$74,C6,Issues!$M$2:$M$74,"&lt;&gt;Fixed",Issues!$M$2:$M$74,"&lt;&gt;Verified")</f>
        <v>2</v>
      </c>
      <c r="K6" s="10" t="str">
        <f aca="false">IF(J6&gt;0,"Needs fix","OK")</f>
        <v>Needs fix</v>
      </c>
    </row>
    <row r="7" customFormat="false" ht="15" hidden="false" customHeight="false" outlineLevel="0" collapsed="false">
      <c r="A7" s="10" t="s">
        <v>218</v>
      </c>
      <c r="B7" s="10" t="s">
        <v>224</v>
      </c>
      <c r="C7" s="11" t="s">
        <v>225</v>
      </c>
      <c r="D7" s="10" t="s">
        <v>226</v>
      </c>
      <c r="E7" s="10" t="n">
        <f aca="false">LEN(D7)</f>
        <v>46</v>
      </c>
      <c r="F7" s="12" t="n">
        <f aca="false">(LEN(D7)-LEN(SUBSTITUTE(D7,"Virtualsphere","")))/LEN("Virtualsphere")</f>
        <v>2</v>
      </c>
      <c r="G7" s="12" t="str">
        <f aca="false">IF(E7&gt;60,"Too long",IF(E7&lt;30,"Too short","OK"))</f>
        <v>OK</v>
      </c>
      <c r="H7" s="10" t="str">
        <f aca="false">IF(COUNTIF($D$2:$D$50,D7)&gt;1,"Duplicate","Unique")</f>
        <v>Unique</v>
      </c>
      <c r="I7" s="10" t="n">
        <f aca="false">COUNTIF(Issues!$E$2:$E$74,C7)</f>
        <v>2</v>
      </c>
      <c r="J7" s="10" t="n">
        <f aca="false">COUNTIFS(Issues!$E$2:$E$74,C7,Issues!$M$2:$M$74,"&lt;&gt;Fixed",Issues!$M$2:$M$74,"&lt;&gt;Verified")</f>
        <v>2</v>
      </c>
      <c r="K7" s="10" t="str">
        <f aca="false">IF(J7&gt;0,"Needs fix","OK")</f>
        <v>Needs fix</v>
      </c>
    </row>
    <row r="8" customFormat="false" ht="15" hidden="false" customHeight="false" outlineLevel="0" collapsed="false">
      <c r="A8" s="10" t="s">
        <v>218</v>
      </c>
      <c r="B8" s="10" t="s">
        <v>229</v>
      </c>
      <c r="C8" s="11" t="s">
        <v>230</v>
      </c>
      <c r="D8" s="10" t="s">
        <v>231</v>
      </c>
      <c r="E8" s="10" t="n">
        <f aca="false">LEN(D8)</f>
        <v>50</v>
      </c>
      <c r="F8" s="12" t="n">
        <f aca="false">(LEN(D8)-LEN(SUBSTITUTE(D8,"Virtualsphere","")))/LEN("Virtualsphere")</f>
        <v>2</v>
      </c>
      <c r="G8" s="12" t="str">
        <f aca="false">IF(E8&gt;60,"Too long",IF(E8&lt;30,"Too short","OK"))</f>
        <v>OK</v>
      </c>
      <c r="H8" s="10" t="str">
        <f aca="false">IF(COUNTIF($D$2:$D$50,D8)&gt;1,"Duplicate","Unique")</f>
        <v>Unique</v>
      </c>
      <c r="I8" s="10" t="n">
        <f aca="false">COUNTIF(Issues!$E$2:$E$74,C8)</f>
        <v>2</v>
      </c>
      <c r="J8" s="10" t="n">
        <f aca="false">COUNTIFS(Issues!$E$2:$E$74,C8,Issues!$M$2:$M$74,"&lt;&gt;Fixed",Issues!$M$2:$M$74,"&lt;&gt;Verified")</f>
        <v>2</v>
      </c>
      <c r="K8" s="10" t="str">
        <f aca="false">IF(J8&gt;0,"Needs fix","OK")</f>
        <v>Needs fix</v>
      </c>
    </row>
    <row r="9" customFormat="false" ht="15" hidden="false" customHeight="false" outlineLevel="0" collapsed="false">
      <c r="A9" s="10" t="s">
        <v>68</v>
      </c>
      <c r="B9" s="10" t="s">
        <v>69</v>
      </c>
      <c r="C9" s="11" t="s">
        <v>70</v>
      </c>
      <c r="D9" s="10" t="s">
        <v>71</v>
      </c>
      <c r="E9" s="10" t="n">
        <f aca="false">LEN(D9)</f>
        <v>24</v>
      </c>
      <c r="F9" s="12" t="n">
        <f aca="false">(LEN(D9)-LEN(SUBSTITUTE(D9,"Virtualsphere","")))/LEN("Virtualsphere")</f>
        <v>1</v>
      </c>
      <c r="G9" s="12" t="str">
        <f aca="false">IF(E9&gt;60,"Too long",IF(E9&lt;30,"Too short","OK"))</f>
        <v>Too short</v>
      </c>
      <c r="H9" s="10" t="str">
        <f aca="false">IF(COUNTIF($D$2:$D$50,D9)&gt;1,"Duplicate","Unique")</f>
        <v>Duplicate</v>
      </c>
      <c r="I9" s="10" t="n">
        <f aca="false">COUNTIF(Issues!$E$2:$E$74,C9)</f>
        <v>1</v>
      </c>
      <c r="J9" s="10" t="n">
        <f aca="false">COUNTIFS(Issues!$E$2:$E$74,C9,Issues!$M$2:$M$74,"&lt;&gt;Fixed",Issues!$M$2:$M$74,"&lt;&gt;Verified")</f>
        <v>1</v>
      </c>
      <c r="K9" s="10" t="str">
        <f aca="false">IF(J9&gt;0,"Needs fix","OK")</f>
        <v>Needs fix</v>
      </c>
    </row>
    <row r="10" customFormat="false" ht="15" hidden="false" customHeight="false" outlineLevel="0" collapsed="false">
      <c r="A10" s="10" t="s">
        <v>68</v>
      </c>
      <c r="B10" s="10" t="s">
        <v>75</v>
      </c>
      <c r="C10" s="11" t="s">
        <v>76</v>
      </c>
      <c r="D10" s="10" t="s">
        <v>71</v>
      </c>
      <c r="E10" s="10" t="n">
        <f aca="false">LEN(D10)</f>
        <v>24</v>
      </c>
      <c r="F10" s="12" t="n">
        <f aca="false">(LEN(D10)-LEN(SUBSTITUTE(D10,"Virtualsphere","")))/LEN("Virtualsphere")</f>
        <v>1</v>
      </c>
      <c r="G10" s="12" t="str">
        <f aca="false">IF(E10&gt;60,"Too long",IF(E10&lt;30,"Too short","OK"))</f>
        <v>Too short</v>
      </c>
      <c r="H10" s="10" t="str">
        <f aca="false">IF(COUNTIF($D$2:$D$50,D10)&gt;1,"Duplicate","Unique")</f>
        <v>Duplicate</v>
      </c>
      <c r="I10" s="10" t="n">
        <f aca="false">COUNTIF(Issues!$E$2:$E$74,C10)</f>
        <v>1</v>
      </c>
      <c r="J10" s="10" t="n">
        <f aca="false">COUNTIFS(Issues!$E$2:$E$74,C10,Issues!$M$2:$M$74,"&lt;&gt;Fixed",Issues!$M$2:$M$74,"&lt;&gt;Verified")</f>
        <v>1</v>
      </c>
      <c r="K10" s="10" t="str">
        <f aca="false">IF(J10&gt;0,"Needs fix","OK")</f>
        <v>Needs fix</v>
      </c>
    </row>
    <row r="11" customFormat="false" ht="15" hidden="false" customHeight="false" outlineLevel="0" collapsed="false">
      <c r="A11" s="10" t="s">
        <v>68</v>
      </c>
      <c r="B11" s="10" t="s">
        <v>80</v>
      </c>
      <c r="C11" s="11" t="s">
        <v>81</v>
      </c>
      <c r="D11" s="10" t="s">
        <v>71</v>
      </c>
      <c r="E11" s="10" t="n">
        <f aca="false">LEN(D11)</f>
        <v>24</v>
      </c>
      <c r="F11" s="12" t="n">
        <f aca="false">(LEN(D11)-LEN(SUBSTITUTE(D11,"Virtualsphere","")))/LEN("Virtualsphere")</f>
        <v>1</v>
      </c>
      <c r="G11" s="12" t="str">
        <f aca="false">IF(E11&gt;60,"Too long",IF(E11&lt;30,"Too short","OK"))</f>
        <v>Too short</v>
      </c>
      <c r="H11" s="10" t="str">
        <f aca="false">IF(COUNTIF($D$2:$D$50,D11)&gt;1,"Duplicate","Unique")</f>
        <v>Duplicate</v>
      </c>
      <c r="I11" s="10" t="n">
        <f aca="false">COUNTIF(Issues!$E$2:$E$74,C11)</f>
        <v>1</v>
      </c>
      <c r="J11" s="10" t="n">
        <f aca="false">COUNTIFS(Issues!$E$2:$E$74,C11,Issues!$M$2:$M$74,"&lt;&gt;Fixed",Issues!$M$2:$M$74,"&lt;&gt;Verified")</f>
        <v>1</v>
      </c>
      <c r="K11" s="10" t="str">
        <f aca="false">IF(J11&gt;0,"Needs fix","OK")</f>
        <v>Needs fix</v>
      </c>
    </row>
    <row r="12" customFormat="false" ht="15" hidden="false" customHeight="false" outlineLevel="0" collapsed="false">
      <c r="A12" s="10" t="s">
        <v>68</v>
      </c>
      <c r="B12" s="10" t="s">
        <v>85</v>
      </c>
      <c r="C12" s="11" t="s">
        <v>86</v>
      </c>
      <c r="D12" s="10" t="s">
        <v>71</v>
      </c>
      <c r="E12" s="10" t="n">
        <f aca="false">LEN(D12)</f>
        <v>24</v>
      </c>
      <c r="F12" s="12" t="n">
        <f aca="false">(LEN(D12)-LEN(SUBSTITUTE(D12,"Virtualsphere","")))/LEN("Virtualsphere")</f>
        <v>1</v>
      </c>
      <c r="G12" s="12" t="str">
        <f aca="false">IF(E12&gt;60,"Too long",IF(E12&lt;30,"Too short","OK"))</f>
        <v>Too short</v>
      </c>
      <c r="H12" s="10" t="str">
        <f aca="false">IF(COUNTIF($D$2:$D$50,D12)&gt;1,"Duplicate","Unique")</f>
        <v>Duplicate</v>
      </c>
      <c r="I12" s="10" t="n">
        <f aca="false">COUNTIF(Issues!$E$2:$E$74,C12)</f>
        <v>2</v>
      </c>
      <c r="J12" s="10" t="n">
        <f aca="false">COUNTIFS(Issues!$E$2:$E$74,C12,Issues!$M$2:$M$74,"&lt;&gt;Fixed",Issues!$M$2:$M$74,"&lt;&gt;Verified")</f>
        <v>2</v>
      </c>
      <c r="K12" s="10" t="str">
        <f aca="false">IF(J12&gt;0,"Needs fix","OK")</f>
        <v>Needs fix</v>
      </c>
    </row>
    <row r="13" customFormat="false" ht="15" hidden="false" customHeight="false" outlineLevel="0" collapsed="false">
      <c r="A13" s="10" t="s">
        <v>68</v>
      </c>
      <c r="B13" s="10" t="s">
        <v>90</v>
      </c>
      <c r="C13" s="11" t="s">
        <v>91</v>
      </c>
      <c r="D13" s="10" t="s">
        <v>71</v>
      </c>
      <c r="E13" s="10" t="n">
        <f aca="false">LEN(D13)</f>
        <v>24</v>
      </c>
      <c r="F13" s="12" t="n">
        <f aca="false">(LEN(D13)-LEN(SUBSTITUTE(D13,"Virtualsphere","")))/LEN("Virtualsphere")</f>
        <v>1</v>
      </c>
      <c r="G13" s="12" t="str">
        <f aca="false">IF(E13&gt;60,"Too long",IF(E13&lt;30,"Too short","OK"))</f>
        <v>Too short</v>
      </c>
      <c r="H13" s="10" t="str">
        <f aca="false">IF(COUNTIF($D$2:$D$50,D13)&gt;1,"Duplicate","Unique")</f>
        <v>Duplicate</v>
      </c>
      <c r="I13" s="10" t="n">
        <f aca="false">COUNTIF(Issues!$E$2:$E$74,C13)</f>
        <v>1</v>
      </c>
      <c r="J13" s="10" t="n">
        <f aca="false">COUNTIFS(Issues!$E$2:$E$74,C13,Issues!$M$2:$M$74,"&lt;&gt;Fixed",Issues!$M$2:$M$74,"&lt;&gt;Verified")</f>
        <v>1</v>
      </c>
      <c r="K13" s="10" t="str">
        <f aca="false">IF(J13&gt;0,"Needs fix","OK")</f>
        <v>Needs fix</v>
      </c>
    </row>
    <row r="14" customFormat="false" ht="15" hidden="false" customHeight="false" outlineLevel="0" collapsed="false">
      <c r="A14" s="10" t="s">
        <v>68</v>
      </c>
      <c r="B14" s="10" t="s">
        <v>95</v>
      </c>
      <c r="C14" s="11" t="s">
        <v>96</v>
      </c>
      <c r="D14" s="10" t="s">
        <v>71</v>
      </c>
      <c r="E14" s="10" t="n">
        <f aca="false">LEN(D14)</f>
        <v>24</v>
      </c>
      <c r="F14" s="12" t="n">
        <f aca="false">(LEN(D14)-LEN(SUBSTITUTE(D14,"Virtualsphere","")))/LEN("Virtualsphere")</f>
        <v>1</v>
      </c>
      <c r="G14" s="12" t="str">
        <f aca="false">IF(E14&gt;60,"Too long",IF(E14&lt;30,"Too short","OK"))</f>
        <v>Too short</v>
      </c>
      <c r="H14" s="10" t="str">
        <f aca="false">IF(COUNTIF($D$2:$D$50,D14)&gt;1,"Duplicate","Unique")</f>
        <v>Duplicate</v>
      </c>
      <c r="I14" s="10" t="n">
        <f aca="false">COUNTIF(Issues!$E$2:$E$74,C14)</f>
        <v>2</v>
      </c>
      <c r="J14" s="10" t="n">
        <f aca="false">COUNTIFS(Issues!$E$2:$E$74,C14,Issues!$M$2:$M$74,"&lt;&gt;Fixed",Issues!$M$2:$M$74,"&lt;&gt;Verified")</f>
        <v>2</v>
      </c>
      <c r="K14" s="10" t="str">
        <f aca="false">IF(J14&gt;0,"Needs fix","OK")</f>
        <v>Needs fix</v>
      </c>
    </row>
    <row r="15" customFormat="false" ht="15" hidden="false" customHeight="false" outlineLevel="0" collapsed="false">
      <c r="A15" s="10" t="s">
        <v>68</v>
      </c>
      <c r="B15" s="10" t="s">
        <v>99</v>
      </c>
      <c r="C15" s="11" t="s">
        <v>100</v>
      </c>
      <c r="D15" s="10" t="s">
        <v>71</v>
      </c>
      <c r="E15" s="10" t="n">
        <f aca="false">LEN(D15)</f>
        <v>24</v>
      </c>
      <c r="F15" s="12" t="n">
        <f aca="false">(LEN(D15)-LEN(SUBSTITUTE(D15,"Virtualsphere","")))/LEN("Virtualsphere")</f>
        <v>1</v>
      </c>
      <c r="G15" s="12" t="str">
        <f aca="false">IF(E15&gt;60,"Too long",IF(E15&lt;30,"Too short","OK"))</f>
        <v>Too short</v>
      </c>
      <c r="H15" s="10" t="str">
        <f aca="false">IF(COUNTIF($D$2:$D$50,D15)&gt;1,"Duplicate","Unique")</f>
        <v>Duplicate</v>
      </c>
      <c r="I15" s="10" t="n">
        <f aca="false">COUNTIF(Issues!$E$2:$E$74,C15)</f>
        <v>1</v>
      </c>
      <c r="J15" s="10" t="n">
        <f aca="false">COUNTIFS(Issues!$E$2:$E$74,C15,Issues!$M$2:$M$74,"&lt;&gt;Fixed",Issues!$M$2:$M$74,"&lt;&gt;Verified")</f>
        <v>1</v>
      </c>
      <c r="K15" s="10" t="str">
        <f aca="false">IF(J15&gt;0,"Needs fix","OK")</f>
        <v>Needs fix</v>
      </c>
    </row>
    <row r="16" customFormat="false" ht="15" hidden="false" customHeight="false" outlineLevel="0" collapsed="false">
      <c r="A16" s="10" t="s">
        <v>68</v>
      </c>
      <c r="B16" s="10" t="s">
        <v>104</v>
      </c>
      <c r="C16" s="11" t="s">
        <v>105</v>
      </c>
      <c r="D16" s="10" t="s">
        <v>71</v>
      </c>
      <c r="E16" s="10" t="n">
        <f aca="false">LEN(D16)</f>
        <v>24</v>
      </c>
      <c r="F16" s="12" t="n">
        <f aca="false">(LEN(D16)-LEN(SUBSTITUTE(D16,"Virtualsphere","")))/LEN("Virtualsphere")</f>
        <v>1</v>
      </c>
      <c r="G16" s="12" t="str">
        <f aca="false">IF(E16&gt;60,"Too long",IF(E16&lt;30,"Too short","OK"))</f>
        <v>Too short</v>
      </c>
      <c r="H16" s="10" t="str">
        <f aca="false">IF(COUNTIF($D$2:$D$50,D16)&gt;1,"Duplicate","Unique")</f>
        <v>Duplicate</v>
      </c>
      <c r="I16" s="10" t="n">
        <f aca="false">COUNTIF(Issues!$E$2:$E$74,C16)</f>
        <v>1</v>
      </c>
      <c r="J16" s="10" t="n">
        <f aca="false">COUNTIFS(Issues!$E$2:$E$74,C16,Issues!$M$2:$M$74,"&lt;&gt;Fixed",Issues!$M$2:$M$74,"&lt;&gt;Verified")</f>
        <v>1</v>
      </c>
      <c r="K16" s="10" t="str">
        <f aca="false">IF(J16&gt;0,"Needs fix","OK")</f>
        <v>Needs fix</v>
      </c>
    </row>
    <row r="17" customFormat="false" ht="15" hidden="false" customHeight="false" outlineLevel="0" collapsed="false">
      <c r="A17" s="10" t="s">
        <v>68</v>
      </c>
      <c r="B17" s="10" t="s">
        <v>109</v>
      </c>
      <c r="C17" s="11" t="s">
        <v>110</v>
      </c>
      <c r="D17" s="10" t="s">
        <v>71</v>
      </c>
      <c r="E17" s="10" t="n">
        <f aca="false">LEN(D17)</f>
        <v>24</v>
      </c>
      <c r="F17" s="12" t="n">
        <f aca="false">(LEN(D17)-LEN(SUBSTITUTE(D17,"Virtualsphere","")))/LEN("Virtualsphere")</f>
        <v>1</v>
      </c>
      <c r="G17" s="12" t="str">
        <f aca="false">IF(E17&gt;60,"Too long",IF(E17&lt;30,"Too short","OK"))</f>
        <v>Too short</v>
      </c>
      <c r="H17" s="10" t="str">
        <f aca="false">IF(COUNTIF($D$2:$D$50,D17)&gt;1,"Duplicate","Unique")</f>
        <v>Duplicate</v>
      </c>
      <c r="I17" s="10" t="n">
        <f aca="false">COUNTIF(Issues!$E$2:$E$74,C17)</f>
        <v>1</v>
      </c>
      <c r="J17" s="10" t="n">
        <f aca="false">COUNTIFS(Issues!$E$2:$E$74,C17,Issues!$M$2:$M$74,"&lt;&gt;Fixed",Issues!$M$2:$M$74,"&lt;&gt;Verified")</f>
        <v>1</v>
      </c>
      <c r="K17" s="10" t="str">
        <f aca="false">IF(J17&gt;0,"Needs fix","OK")</f>
        <v>Needs fix</v>
      </c>
    </row>
    <row r="18" customFormat="false" ht="15" hidden="false" customHeight="false" outlineLevel="0" collapsed="false">
      <c r="A18" s="10" t="s">
        <v>68</v>
      </c>
      <c r="B18" s="10" t="s">
        <v>114</v>
      </c>
      <c r="C18" s="11" t="s">
        <v>115</v>
      </c>
      <c r="D18" s="10" t="s">
        <v>71</v>
      </c>
      <c r="E18" s="10" t="n">
        <f aca="false">LEN(D18)</f>
        <v>24</v>
      </c>
      <c r="F18" s="12" t="n">
        <f aca="false">(LEN(D18)-LEN(SUBSTITUTE(D18,"Virtualsphere","")))/LEN("Virtualsphere")</f>
        <v>1</v>
      </c>
      <c r="G18" s="12" t="str">
        <f aca="false">IF(E18&gt;60,"Too long",IF(E18&lt;30,"Too short","OK"))</f>
        <v>Too short</v>
      </c>
      <c r="H18" s="10" t="str">
        <f aca="false">IF(COUNTIF($D$2:$D$50,D18)&gt;1,"Duplicate","Unique")</f>
        <v>Duplicate</v>
      </c>
      <c r="I18" s="10" t="n">
        <f aca="false">COUNTIF(Issues!$E$2:$E$74,C18)</f>
        <v>1</v>
      </c>
      <c r="J18" s="10" t="n">
        <f aca="false">COUNTIFS(Issues!$E$2:$E$74,C18,Issues!$M$2:$M$74,"&lt;&gt;Fixed",Issues!$M$2:$M$74,"&lt;&gt;Verified")</f>
        <v>1</v>
      </c>
      <c r="K18" s="10" t="str">
        <f aca="false">IF(J18&gt;0,"Needs fix","OK")</f>
        <v>Needs fix</v>
      </c>
    </row>
    <row r="19" customFormat="false" ht="15" hidden="false" customHeight="false" outlineLevel="0" collapsed="false">
      <c r="A19" s="10" t="s">
        <v>68</v>
      </c>
      <c r="B19" s="10" t="s">
        <v>119</v>
      </c>
      <c r="C19" s="11" t="s">
        <v>120</v>
      </c>
      <c r="D19" s="10" t="s">
        <v>71</v>
      </c>
      <c r="E19" s="10" t="n">
        <f aca="false">LEN(D19)</f>
        <v>24</v>
      </c>
      <c r="F19" s="12" t="n">
        <f aca="false">(LEN(D19)-LEN(SUBSTITUTE(D19,"Virtualsphere","")))/LEN("Virtualsphere")</f>
        <v>1</v>
      </c>
      <c r="G19" s="12" t="str">
        <f aca="false">IF(E19&gt;60,"Too long",IF(E19&lt;30,"Too short","OK"))</f>
        <v>Too short</v>
      </c>
      <c r="H19" s="10" t="str">
        <f aca="false">IF(COUNTIF($D$2:$D$50,D19)&gt;1,"Duplicate","Unique")</f>
        <v>Duplicate</v>
      </c>
      <c r="I19" s="10" t="n">
        <f aca="false">COUNTIF(Issues!$E$2:$E$74,C19)</f>
        <v>1</v>
      </c>
      <c r="J19" s="10" t="n">
        <f aca="false">COUNTIFS(Issues!$E$2:$E$74,C19,Issues!$M$2:$M$74,"&lt;&gt;Fixed",Issues!$M$2:$M$74,"&lt;&gt;Verified")</f>
        <v>1</v>
      </c>
      <c r="K19" s="10" t="str">
        <f aca="false">IF(J19&gt;0,"Needs fix","OK")</f>
        <v>Needs fix</v>
      </c>
    </row>
    <row r="20" customFormat="false" ht="15" hidden="false" customHeight="false" outlineLevel="0" collapsed="false">
      <c r="A20" s="10" t="s">
        <v>68</v>
      </c>
      <c r="B20" s="10" t="s">
        <v>124</v>
      </c>
      <c r="C20" s="11" t="s">
        <v>125</v>
      </c>
      <c r="D20" s="10" t="s">
        <v>71</v>
      </c>
      <c r="E20" s="10" t="n">
        <f aca="false">LEN(D20)</f>
        <v>24</v>
      </c>
      <c r="F20" s="12" t="n">
        <f aca="false">(LEN(D20)-LEN(SUBSTITUTE(D20,"Virtualsphere","")))/LEN("Virtualsphere")</f>
        <v>1</v>
      </c>
      <c r="G20" s="12" t="str">
        <f aca="false">IF(E20&gt;60,"Too long",IF(E20&lt;30,"Too short","OK"))</f>
        <v>Too short</v>
      </c>
      <c r="H20" s="10" t="str">
        <f aca="false">IF(COUNTIF($D$2:$D$50,D20)&gt;1,"Duplicate","Unique")</f>
        <v>Duplicate</v>
      </c>
      <c r="I20" s="10" t="n">
        <f aca="false">COUNTIF(Issues!$E$2:$E$74,C20)</f>
        <v>1</v>
      </c>
      <c r="J20" s="10" t="n">
        <f aca="false">COUNTIFS(Issues!$E$2:$E$74,C20,Issues!$M$2:$M$74,"&lt;&gt;Fixed",Issues!$M$2:$M$74,"&lt;&gt;Verified")</f>
        <v>1</v>
      </c>
      <c r="K20" s="10" t="str">
        <f aca="false">IF(J20&gt;0,"Needs fix","OK")</f>
        <v>Needs fix</v>
      </c>
    </row>
    <row r="21" customFormat="false" ht="15" hidden="false" customHeight="false" outlineLevel="0" collapsed="false">
      <c r="A21" s="10" t="s">
        <v>68</v>
      </c>
      <c r="B21" s="10" t="s">
        <v>129</v>
      </c>
      <c r="C21" s="11" t="s">
        <v>130</v>
      </c>
      <c r="D21" s="10" t="s">
        <v>71</v>
      </c>
      <c r="E21" s="10" t="n">
        <f aca="false">LEN(D21)</f>
        <v>24</v>
      </c>
      <c r="F21" s="12" t="n">
        <f aca="false">(LEN(D21)-LEN(SUBSTITUTE(D21,"Virtualsphere","")))/LEN("Virtualsphere")</f>
        <v>1</v>
      </c>
      <c r="G21" s="12" t="str">
        <f aca="false">IF(E21&gt;60,"Too long",IF(E21&lt;30,"Too short","OK"))</f>
        <v>Too short</v>
      </c>
      <c r="H21" s="10" t="str">
        <f aca="false">IF(COUNTIF($D$2:$D$50,D21)&gt;1,"Duplicate","Unique")</f>
        <v>Duplicate</v>
      </c>
      <c r="I21" s="10" t="n">
        <f aca="false">COUNTIF(Issues!$E$2:$E$74,C21)</f>
        <v>1</v>
      </c>
      <c r="J21" s="10" t="n">
        <f aca="false">COUNTIFS(Issues!$E$2:$E$74,C21,Issues!$M$2:$M$74,"&lt;&gt;Fixed",Issues!$M$2:$M$74,"&lt;&gt;Verified")</f>
        <v>1</v>
      </c>
      <c r="K21" s="10" t="str">
        <f aca="false">IF(J21&gt;0,"Needs fix","OK")</f>
        <v>Needs fix</v>
      </c>
    </row>
    <row r="22" customFormat="false" ht="15" hidden="false" customHeight="false" outlineLevel="0" collapsed="false">
      <c r="A22" s="10" t="s">
        <v>134</v>
      </c>
      <c r="B22" s="10" t="s">
        <v>135</v>
      </c>
      <c r="C22" s="11" t="s">
        <v>136</v>
      </c>
      <c r="D22" s="10" t="s">
        <v>137</v>
      </c>
      <c r="E22" s="10" t="n">
        <f aca="false">LEN(D22)</f>
        <v>55</v>
      </c>
      <c r="F22" s="12" t="n">
        <f aca="false">(LEN(D22)-LEN(SUBSTITUTE(D22,"Virtualsphere","")))/LEN("Virtualsphere")</f>
        <v>2</v>
      </c>
      <c r="G22" s="12" t="str">
        <f aca="false">IF(E22&gt;60,"Too long",IF(E22&lt;30,"Too short","OK"))</f>
        <v>OK</v>
      </c>
      <c r="H22" s="10" t="str">
        <f aca="false">IF(COUNTIF($D$2:$D$50,D22)&gt;1,"Duplicate","Unique")</f>
        <v>Unique</v>
      </c>
      <c r="I22" s="10" t="n">
        <f aca="false">COUNTIF(Issues!$E$2:$E$74,C22)</f>
        <v>1</v>
      </c>
      <c r="J22" s="10" t="n">
        <f aca="false">COUNTIFS(Issues!$E$2:$E$74,C22,Issues!$M$2:$M$74,"&lt;&gt;Fixed",Issues!$M$2:$M$74,"&lt;&gt;Verified")</f>
        <v>1</v>
      </c>
      <c r="K22" s="10" t="str">
        <f aca="false">IF(J22&gt;0,"Needs fix","OK")</f>
        <v>Needs fix</v>
      </c>
    </row>
    <row r="23" customFormat="false" ht="15" hidden="false" customHeight="false" outlineLevel="0" collapsed="false">
      <c r="A23" s="10" t="s">
        <v>134</v>
      </c>
      <c r="B23" s="10" t="s">
        <v>142</v>
      </c>
      <c r="C23" s="11" t="s">
        <v>143</v>
      </c>
      <c r="D23" s="10" t="s">
        <v>144</v>
      </c>
      <c r="E23" s="10" t="n">
        <f aca="false">LEN(D23)</f>
        <v>38</v>
      </c>
      <c r="F23" s="12" t="n">
        <f aca="false">(LEN(D23)-LEN(SUBSTITUTE(D23,"Virtualsphere","")))/LEN("Virtualsphere")</f>
        <v>2</v>
      </c>
      <c r="G23" s="12" t="str">
        <f aca="false">IF(E23&gt;60,"Too long",IF(E23&lt;30,"Too short","OK"))</f>
        <v>OK</v>
      </c>
      <c r="H23" s="10" t="str">
        <f aca="false">IF(COUNTIF($D$2:$D$50,D23)&gt;1,"Duplicate","Unique")</f>
        <v>Unique</v>
      </c>
      <c r="I23" s="10" t="n">
        <f aca="false">COUNTIF(Issues!$E$2:$E$74,C23)</f>
        <v>2</v>
      </c>
      <c r="J23" s="10" t="n">
        <f aca="false">COUNTIFS(Issues!$E$2:$E$74,C23,Issues!$M$2:$M$74,"&lt;&gt;Fixed",Issues!$M$2:$M$74,"&lt;&gt;Verified")</f>
        <v>2</v>
      </c>
      <c r="K23" s="10" t="str">
        <f aca="false">IF(J23&gt;0,"Needs fix","OK")</f>
        <v>Needs fix</v>
      </c>
    </row>
    <row r="24" customFormat="false" ht="15" hidden="false" customHeight="false" outlineLevel="0" collapsed="false">
      <c r="A24" s="10" t="s">
        <v>134</v>
      </c>
      <c r="B24" s="10" t="s">
        <v>147</v>
      </c>
      <c r="C24" s="11" t="s">
        <v>148</v>
      </c>
      <c r="D24" s="10" t="s">
        <v>149</v>
      </c>
      <c r="E24" s="10" t="n">
        <f aca="false">LEN(D24)</f>
        <v>54</v>
      </c>
      <c r="F24" s="12" t="n">
        <f aca="false">(LEN(D24)-LEN(SUBSTITUTE(D24,"Virtualsphere","")))/LEN("Virtualsphere")</f>
        <v>2</v>
      </c>
      <c r="G24" s="12" t="str">
        <f aca="false">IF(E24&gt;60,"Too long",IF(E24&lt;30,"Too short","OK"))</f>
        <v>OK</v>
      </c>
      <c r="H24" s="10" t="str">
        <f aca="false">IF(COUNTIF($D$2:$D$50,D24)&gt;1,"Duplicate","Unique")</f>
        <v>Unique</v>
      </c>
      <c r="I24" s="10" t="n">
        <f aca="false">COUNTIF(Issues!$E$2:$E$74,C24)</f>
        <v>2</v>
      </c>
      <c r="J24" s="10" t="n">
        <f aca="false">COUNTIFS(Issues!$E$2:$E$74,C24,Issues!$M$2:$M$74,"&lt;&gt;Fixed",Issues!$M$2:$M$74,"&lt;&gt;Verified")</f>
        <v>2</v>
      </c>
      <c r="K24" s="10" t="str">
        <f aca="false">IF(J24&gt;0,"Needs fix","OK")</f>
        <v>Needs fix</v>
      </c>
    </row>
    <row r="25" customFormat="false" ht="15" hidden="false" customHeight="false" outlineLevel="0" collapsed="false">
      <c r="A25" s="10" t="s">
        <v>134</v>
      </c>
      <c r="B25" s="10" t="s">
        <v>152</v>
      </c>
      <c r="C25" s="11" t="s">
        <v>153</v>
      </c>
      <c r="D25" s="10" t="s">
        <v>154</v>
      </c>
      <c r="E25" s="10" t="n">
        <f aca="false">LEN(D25)</f>
        <v>35</v>
      </c>
      <c r="F25" s="12" t="n">
        <f aca="false">(LEN(D25)-LEN(SUBSTITUTE(D25,"Virtualsphere","")))/LEN("Virtualsphere")</f>
        <v>2</v>
      </c>
      <c r="G25" s="12" t="str">
        <f aca="false">IF(E25&gt;60,"Too long",IF(E25&lt;30,"Too short","OK"))</f>
        <v>OK</v>
      </c>
      <c r="H25" s="10" t="str">
        <f aca="false">IF(COUNTIF($D$2:$D$50,D25)&gt;1,"Duplicate","Unique")</f>
        <v>Unique</v>
      </c>
      <c r="I25" s="10" t="n">
        <f aca="false">COUNTIF(Issues!$E$2:$E$74,C25)</f>
        <v>2</v>
      </c>
      <c r="J25" s="10" t="n">
        <f aca="false">COUNTIFS(Issues!$E$2:$E$74,C25,Issues!$M$2:$M$74,"&lt;&gt;Fixed",Issues!$M$2:$M$74,"&lt;&gt;Verified")</f>
        <v>2</v>
      </c>
      <c r="K25" s="10" t="str">
        <f aca="false">IF(J25&gt;0,"Needs fix","OK")</f>
        <v>Needs fix</v>
      </c>
    </row>
    <row r="26" customFormat="false" ht="15" hidden="false" customHeight="false" outlineLevel="0" collapsed="false">
      <c r="A26" s="10" t="s">
        <v>134</v>
      </c>
      <c r="B26" s="10" t="s">
        <v>157</v>
      </c>
      <c r="C26" s="11" t="s">
        <v>158</v>
      </c>
      <c r="D26" s="10" t="s">
        <v>159</v>
      </c>
      <c r="E26" s="10" t="n">
        <f aca="false">LEN(D26)</f>
        <v>36</v>
      </c>
      <c r="F26" s="12" t="n">
        <f aca="false">(LEN(D26)-LEN(SUBSTITUTE(D26,"Virtualsphere","")))/LEN("Virtualsphere")</f>
        <v>2</v>
      </c>
      <c r="G26" s="12" t="str">
        <f aca="false">IF(E26&gt;60,"Too long",IF(E26&lt;30,"Too short","OK"))</f>
        <v>OK</v>
      </c>
      <c r="H26" s="10" t="str">
        <f aca="false">IF(COUNTIF($D$2:$D$50,D26)&gt;1,"Duplicate","Unique")</f>
        <v>Unique</v>
      </c>
      <c r="I26" s="10" t="n">
        <f aca="false">COUNTIF(Issues!$E$2:$E$74,C26)</f>
        <v>2</v>
      </c>
      <c r="J26" s="10" t="n">
        <f aca="false">COUNTIFS(Issues!$E$2:$E$74,C26,Issues!$M$2:$M$74,"&lt;&gt;Fixed",Issues!$M$2:$M$74,"&lt;&gt;Verified")</f>
        <v>2</v>
      </c>
      <c r="K26" s="10" t="str">
        <f aca="false">IF(J26&gt;0,"Needs fix","OK")</f>
        <v>Needs fix</v>
      </c>
    </row>
    <row r="27" customFormat="false" ht="15" hidden="false" customHeight="false" outlineLevel="0" collapsed="false">
      <c r="A27" s="10" t="s">
        <v>134</v>
      </c>
      <c r="B27" s="10" t="s">
        <v>382</v>
      </c>
      <c r="C27" s="11" t="s">
        <v>383</v>
      </c>
      <c r="D27" s="10" t="s">
        <v>397</v>
      </c>
      <c r="E27" s="10" t="n">
        <f aca="false">LEN(D27)</f>
        <v>57</v>
      </c>
      <c r="F27" s="12" t="n">
        <f aca="false">(LEN(D27)-LEN(SUBSTITUTE(D27,"Virtualsphere","")))/LEN("Virtualsphere")</f>
        <v>1</v>
      </c>
      <c r="G27" s="12" t="str">
        <f aca="false">IF(E27&gt;60,"Too long",IF(E27&lt;30,"Too short","OK"))</f>
        <v>OK</v>
      </c>
      <c r="H27" s="10" t="str">
        <f aca="false">IF(COUNTIF($D$2:$D$50,D27)&gt;1,"Duplicate","Unique")</f>
        <v>Unique</v>
      </c>
      <c r="I27" s="10" t="n">
        <f aca="false">COUNTIF(Issues!$E$2:$E$74,C27)</f>
        <v>1</v>
      </c>
      <c r="J27" s="10" t="n">
        <f aca="false">COUNTIFS(Issues!$E$2:$E$74,C27,Issues!$M$2:$M$74,"&lt;&gt;Fixed",Issues!$M$2:$M$74,"&lt;&gt;Verified")</f>
        <v>1</v>
      </c>
      <c r="K27" s="10" t="str">
        <f aca="false">IF(J27&gt;0,"Needs fix","OK")</f>
        <v>Needs fix</v>
      </c>
    </row>
    <row r="28" customFormat="false" ht="15" hidden="false" customHeight="false" outlineLevel="0" collapsed="false">
      <c r="A28" s="10" t="s">
        <v>134</v>
      </c>
      <c r="B28" s="10" t="s">
        <v>162</v>
      </c>
      <c r="C28" s="11" t="s">
        <v>163</v>
      </c>
      <c r="D28" s="10" t="s">
        <v>164</v>
      </c>
      <c r="E28" s="10" t="n">
        <f aca="false">LEN(D28)</f>
        <v>69</v>
      </c>
      <c r="F28" s="12" t="n">
        <f aca="false">(LEN(D28)-LEN(SUBSTITUTE(D28,"Virtualsphere","")))/LEN("Virtualsphere")</f>
        <v>2</v>
      </c>
      <c r="G28" s="12" t="str">
        <f aca="false">IF(E28&gt;60,"Too long",IF(E28&lt;30,"Too short","OK"))</f>
        <v>Too long</v>
      </c>
      <c r="H28" s="10" t="str">
        <f aca="false">IF(COUNTIF($D$2:$D$50,D28)&gt;1,"Duplicate","Unique")</f>
        <v>Unique</v>
      </c>
      <c r="I28" s="10" t="n">
        <f aca="false">COUNTIF(Issues!$E$2:$E$74,C28)</f>
        <v>2</v>
      </c>
      <c r="J28" s="10" t="n">
        <f aca="false">COUNTIFS(Issues!$E$2:$E$74,C28,Issues!$M$2:$M$74,"&lt;&gt;Fixed",Issues!$M$2:$M$74,"&lt;&gt;Verified")</f>
        <v>2</v>
      </c>
      <c r="K28" s="10" t="str">
        <f aca="false">IF(J28&gt;0,"Needs fix","OK")</f>
        <v>Needs fix</v>
      </c>
    </row>
    <row r="29" customFormat="false" ht="15" hidden="false" customHeight="false" outlineLevel="0" collapsed="false">
      <c r="A29" s="10" t="s">
        <v>134</v>
      </c>
      <c r="B29" s="10" t="s">
        <v>167</v>
      </c>
      <c r="C29" s="11" t="s">
        <v>168</v>
      </c>
      <c r="D29" s="10" t="s">
        <v>169</v>
      </c>
      <c r="E29" s="10" t="n">
        <f aca="false">LEN(D29)</f>
        <v>64</v>
      </c>
      <c r="F29" s="12" t="n">
        <f aca="false">(LEN(D29)-LEN(SUBSTITUTE(D29,"Virtualsphere","")))/LEN("Virtualsphere")</f>
        <v>2</v>
      </c>
      <c r="G29" s="12" t="str">
        <f aca="false">IF(E29&gt;60,"Too long",IF(E29&lt;30,"Too short","OK"))</f>
        <v>Too long</v>
      </c>
      <c r="H29" s="10" t="str">
        <f aca="false">IF(COUNTIF($D$2:$D$50,D29)&gt;1,"Duplicate","Unique")</f>
        <v>Unique</v>
      </c>
      <c r="I29" s="10" t="n">
        <f aca="false">COUNTIF(Issues!$E$2:$E$74,C29)</f>
        <v>2</v>
      </c>
      <c r="J29" s="10" t="n">
        <f aca="false">COUNTIFS(Issues!$E$2:$E$74,C29,Issues!$M$2:$M$74,"&lt;&gt;Fixed",Issues!$M$2:$M$74,"&lt;&gt;Verified")</f>
        <v>2</v>
      </c>
      <c r="K29" s="10" t="str">
        <f aca="false">IF(J29&gt;0,"Needs fix","OK")</f>
        <v>Needs fix</v>
      </c>
    </row>
    <row r="30" customFormat="false" ht="15" hidden="false" customHeight="false" outlineLevel="0" collapsed="false">
      <c r="A30" s="10" t="s">
        <v>134</v>
      </c>
      <c r="B30" s="10" t="s">
        <v>319</v>
      </c>
      <c r="C30" s="11" t="s">
        <v>320</v>
      </c>
      <c r="D30" s="10" t="s">
        <v>321</v>
      </c>
      <c r="E30" s="10" t="n">
        <f aca="false">LEN(D30)</f>
        <v>70</v>
      </c>
      <c r="F30" s="12" t="n">
        <f aca="false">(LEN(D30)-LEN(SUBSTITUTE(D30,"Virtualsphere","")))/LEN("Virtualsphere")</f>
        <v>1</v>
      </c>
      <c r="G30" s="12" t="str">
        <f aca="false">IF(E30&gt;60,"Too long",IF(E30&lt;30,"Too short","OK"))</f>
        <v>Too long</v>
      </c>
      <c r="H30" s="10" t="str">
        <f aca="false">IF(COUNTIF($D$2:$D$50,D30)&gt;1,"Duplicate","Unique")</f>
        <v>Unique</v>
      </c>
      <c r="I30" s="10" t="n">
        <f aca="false">COUNTIF(Issues!$E$2:$E$74,C30)</f>
        <v>1</v>
      </c>
      <c r="J30" s="10" t="n">
        <f aca="false">COUNTIFS(Issues!$E$2:$E$74,C30,Issues!$M$2:$M$74,"&lt;&gt;Fixed",Issues!$M$2:$M$74,"&lt;&gt;Verified")</f>
        <v>1</v>
      </c>
      <c r="K30" s="10" t="str">
        <f aca="false">IF(J30&gt;0,"Needs fix","OK")</f>
        <v>Needs fix</v>
      </c>
    </row>
    <row r="31" customFormat="false" ht="15" hidden="false" customHeight="false" outlineLevel="0" collapsed="false">
      <c r="A31" s="10" t="s">
        <v>134</v>
      </c>
      <c r="B31" s="10" t="s">
        <v>326</v>
      </c>
      <c r="C31" s="11" t="s">
        <v>327</v>
      </c>
      <c r="D31" s="10" t="s">
        <v>328</v>
      </c>
      <c r="E31" s="10" t="n">
        <f aca="false">LEN(D31)</f>
        <v>74</v>
      </c>
      <c r="F31" s="12" t="n">
        <f aca="false">(LEN(D31)-LEN(SUBSTITUTE(D31,"Virtualsphere","")))/LEN("Virtualsphere")</f>
        <v>1</v>
      </c>
      <c r="G31" s="12" t="str">
        <f aca="false">IF(E31&gt;60,"Too long",IF(E31&lt;30,"Too short","OK"))</f>
        <v>Too long</v>
      </c>
      <c r="H31" s="10" t="str">
        <f aca="false">IF(COUNTIF($D$2:$D$50,D31)&gt;1,"Duplicate","Unique")</f>
        <v>Unique</v>
      </c>
      <c r="I31" s="10" t="n">
        <f aca="false">COUNTIF(Issues!$E$2:$E$74,C31)</f>
        <v>2</v>
      </c>
      <c r="J31" s="10" t="n">
        <f aca="false">COUNTIFS(Issues!$E$2:$E$74,C31,Issues!$M$2:$M$74,"&lt;&gt;Fixed",Issues!$M$2:$M$74,"&lt;&gt;Verified")</f>
        <v>2</v>
      </c>
      <c r="K31" s="10" t="str">
        <f aca="false">IF(J31&gt;0,"Needs fix","OK")</f>
        <v>Needs fix</v>
      </c>
    </row>
    <row r="32" customFormat="false" ht="15" hidden="false" customHeight="false" outlineLevel="0" collapsed="false">
      <c r="A32" s="10" t="s">
        <v>134</v>
      </c>
      <c r="B32" s="10" t="s">
        <v>260</v>
      </c>
      <c r="C32" s="11" t="s">
        <v>261</v>
      </c>
      <c r="D32" s="10" t="s">
        <v>370</v>
      </c>
      <c r="E32" s="10" t="n">
        <f aca="false">LEN(D32)</f>
        <v>43</v>
      </c>
      <c r="F32" s="12" t="n">
        <f aca="false">(LEN(D32)-LEN(SUBSTITUTE(D32,"Virtualsphere","")))/LEN("Virtualsphere")</f>
        <v>1</v>
      </c>
      <c r="G32" s="12" t="str">
        <f aca="false">IF(E32&gt;60,"Too long",IF(E32&lt;30,"Too short","OK"))</f>
        <v>OK</v>
      </c>
      <c r="H32" s="10" t="str">
        <f aca="false">IF(COUNTIF($D$2:$D$50,D32)&gt;1,"Duplicate","Unique")</f>
        <v>Unique</v>
      </c>
      <c r="I32" s="10" t="n">
        <f aca="false">COUNTIF(Issues!$E$2:$E$74,C32)</f>
        <v>2</v>
      </c>
      <c r="J32" s="10" t="n">
        <f aca="false">COUNTIFS(Issues!$E$2:$E$74,C32,Issues!$M$2:$M$74,"&lt;&gt;Fixed",Issues!$M$2:$M$74,"&lt;&gt;Verified")</f>
        <v>2</v>
      </c>
      <c r="K32" s="10" t="str">
        <f aca="false">IF(J32&gt;0,"Needs fix","OK")</f>
        <v>Needs fix</v>
      </c>
    </row>
    <row r="33" customFormat="false" ht="15" hidden="false" customHeight="false" outlineLevel="0" collapsed="false">
      <c r="A33" s="10" t="s">
        <v>134</v>
      </c>
      <c r="B33" s="10" t="s">
        <v>206</v>
      </c>
      <c r="C33" s="11" t="s">
        <v>207</v>
      </c>
      <c r="D33" s="10" t="s">
        <v>208</v>
      </c>
      <c r="E33" s="10" t="n">
        <f aca="false">LEN(D33)</f>
        <v>75</v>
      </c>
      <c r="F33" s="12" t="n">
        <f aca="false">(LEN(D33)-LEN(SUBSTITUTE(D33,"Virtualsphere","")))/LEN("Virtualsphere")</f>
        <v>1</v>
      </c>
      <c r="G33" s="12" t="str">
        <f aca="false">IF(E33&gt;60,"Too long",IF(E33&lt;30,"Too short","OK"))</f>
        <v>Too long</v>
      </c>
      <c r="H33" s="10" t="str">
        <f aca="false">IF(COUNTIF($D$2:$D$50,D33)&gt;1,"Duplicate","Unique")</f>
        <v>Unique</v>
      </c>
      <c r="I33" s="10" t="n">
        <f aca="false">COUNTIF(Issues!$E$2:$E$74,C33)</f>
        <v>2</v>
      </c>
      <c r="J33" s="10" t="n">
        <f aca="false">COUNTIFS(Issues!$E$2:$E$74,C33,Issues!$M$2:$M$74,"&lt;&gt;Fixed",Issues!$M$2:$M$74,"&lt;&gt;Verified")</f>
        <v>2</v>
      </c>
      <c r="K33" s="10" t="str">
        <f aca="false">IF(J33&gt;0,"Needs fix","OK")</f>
        <v>Needs fix</v>
      </c>
    </row>
    <row r="34" customFormat="false" ht="15" hidden="false" customHeight="false" outlineLevel="0" collapsed="false">
      <c r="A34" s="10" t="s">
        <v>134</v>
      </c>
      <c r="B34" s="10" t="s">
        <v>254</v>
      </c>
      <c r="C34" s="11" t="s">
        <v>255</v>
      </c>
      <c r="D34" s="10" t="s">
        <v>366</v>
      </c>
      <c r="E34" s="10" t="n">
        <f aca="false">LEN(D34)</f>
        <v>45</v>
      </c>
      <c r="F34" s="12" t="n">
        <f aca="false">(LEN(D34)-LEN(SUBSTITUTE(D34,"Virtualsphere","")))/LEN("Virtualsphere")</f>
        <v>1</v>
      </c>
      <c r="G34" s="12" t="str">
        <f aca="false">IF(E34&gt;60,"Too long",IF(E34&lt;30,"Too short","OK"))</f>
        <v>OK</v>
      </c>
      <c r="H34" s="10" t="str">
        <f aca="false">IF(COUNTIF($D$2:$D$50,D34)&gt;1,"Duplicate","Unique")</f>
        <v>Unique</v>
      </c>
      <c r="I34" s="10" t="n">
        <f aca="false">COUNTIF(Issues!$E$2:$E$74,C34)</f>
        <v>2</v>
      </c>
      <c r="J34" s="10" t="n">
        <f aca="false">COUNTIFS(Issues!$E$2:$E$74,C34,Issues!$M$2:$M$74,"&lt;&gt;Fixed",Issues!$M$2:$M$74,"&lt;&gt;Verified")</f>
        <v>2</v>
      </c>
      <c r="K34" s="10" t="str">
        <f aca="false">IF(J34&gt;0,"Needs fix","OK")</f>
        <v>Needs fix</v>
      </c>
    </row>
    <row r="35" customFormat="false" ht="15" hidden="false" customHeight="false" outlineLevel="0" collapsed="false">
      <c r="A35" s="10" t="s">
        <v>134</v>
      </c>
      <c r="B35" s="10" t="s">
        <v>172</v>
      </c>
      <c r="C35" s="11" t="s">
        <v>173</v>
      </c>
      <c r="D35" s="10" t="s">
        <v>174</v>
      </c>
      <c r="E35" s="10" t="n">
        <f aca="false">LEN(D35)</f>
        <v>61</v>
      </c>
      <c r="F35" s="12" t="n">
        <f aca="false">(LEN(D35)-LEN(SUBSTITUTE(D35,"Virtualsphere","")))/LEN("Virtualsphere")</f>
        <v>2</v>
      </c>
      <c r="G35" s="12" t="str">
        <f aca="false">IF(E35&gt;60,"Too long",IF(E35&lt;30,"Too short","OK"))</f>
        <v>Too long</v>
      </c>
      <c r="H35" s="10" t="str">
        <f aca="false">IF(COUNTIF($D$2:$D$50,D35)&gt;1,"Duplicate","Unique")</f>
        <v>Unique</v>
      </c>
      <c r="I35" s="10" t="n">
        <f aca="false">COUNTIF(Issues!$E$2:$E$74,C35)</f>
        <v>2</v>
      </c>
      <c r="J35" s="10" t="n">
        <f aca="false">COUNTIFS(Issues!$E$2:$E$74,C35,Issues!$M$2:$M$74,"&lt;&gt;Fixed",Issues!$M$2:$M$74,"&lt;&gt;Verified")</f>
        <v>2</v>
      </c>
      <c r="K35" s="10" t="str">
        <f aca="false">IF(J35&gt;0,"Needs fix","OK")</f>
        <v>Needs fix</v>
      </c>
    </row>
    <row r="36" customFormat="false" ht="15" hidden="false" customHeight="false" outlineLevel="0" collapsed="false">
      <c r="A36" s="10" t="s">
        <v>134</v>
      </c>
      <c r="B36" s="10" t="s">
        <v>331</v>
      </c>
      <c r="C36" s="11" t="s">
        <v>332</v>
      </c>
      <c r="D36" s="10" t="s">
        <v>333</v>
      </c>
      <c r="E36" s="10" t="n">
        <f aca="false">LEN(D36)</f>
        <v>71</v>
      </c>
      <c r="F36" s="12" t="n">
        <f aca="false">(LEN(D36)-LEN(SUBSTITUTE(D36,"Virtualsphere","")))/LEN("Virtualsphere")</f>
        <v>1</v>
      </c>
      <c r="G36" s="12" t="str">
        <f aca="false">IF(E36&gt;60,"Too long",IF(E36&lt;30,"Too short","OK"))</f>
        <v>Too long</v>
      </c>
      <c r="H36" s="10" t="str">
        <f aca="false">IF(COUNTIF($D$2:$D$50,D36)&gt;1,"Duplicate","Unique")</f>
        <v>Unique</v>
      </c>
      <c r="I36" s="10" t="n">
        <f aca="false">COUNTIF(Issues!$E$2:$E$74,C36)</f>
        <v>1</v>
      </c>
      <c r="J36" s="10" t="n">
        <f aca="false">COUNTIFS(Issues!$E$2:$E$74,C36,Issues!$M$2:$M$74,"&lt;&gt;Fixed",Issues!$M$2:$M$74,"&lt;&gt;Verified")</f>
        <v>1</v>
      </c>
      <c r="K36" s="10" t="str">
        <f aca="false">IF(J36&gt;0,"Needs fix","OK")</f>
        <v>Needs fix</v>
      </c>
    </row>
    <row r="37" customFormat="false" ht="15" hidden="false" customHeight="false" outlineLevel="0" collapsed="false">
      <c r="A37" s="10" t="s">
        <v>134</v>
      </c>
      <c r="B37" s="10" t="s">
        <v>336</v>
      </c>
      <c r="C37" s="11" t="s">
        <v>337</v>
      </c>
      <c r="D37" s="10" t="s">
        <v>338</v>
      </c>
      <c r="E37" s="10" t="n">
        <f aca="false">LEN(D37)</f>
        <v>66</v>
      </c>
      <c r="F37" s="12" t="n">
        <f aca="false">(LEN(D37)-LEN(SUBSTITUTE(D37,"Virtualsphere","")))/LEN("Virtualsphere")</f>
        <v>1</v>
      </c>
      <c r="G37" s="12" t="str">
        <f aca="false">IF(E37&gt;60,"Too long",IF(E37&lt;30,"Too short","OK"))</f>
        <v>Too long</v>
      </c>
      <c r="H37" s="10" t="str">
        <f aca="false">IF(COUNTIF($D$2:$D$50,D37)&gt;1,"Duplicate","Unique")</f>
        <v>Unique</v>
      </c>
      <c r="I37" s="10" t="n">
        <f aca="false">COUNTIF(Issues!$E$2:$E$74,C37)</f>
        <v>1</v>
      </c>
      <c r="J37" s="10" t="n">
        <f aca="false">COUNTIFS(Issues!$E$2:$E$74,C37,Issues!$M$2:$M$74,"&lt;&gt;Fixed",Issues!$M$2:$M$74,"&lt;&gt;Verified")</f>
        <v>1</v>
      </c>
      <c r="K37" s="10" t="str">
        <f aca="false">IF(J37&gt;0,"Needs fix","OK")</f>
        <v>Needs fix</v>
      </c>
    </row>
    <row r="38" customFormat="false" ht="15" hidden="false" customHeight="false" outlineLevel="0" collapsed="false">
      <c r="A38" s="10" t="s">
        <v>134</v>
      </c>
      <c r="B38" s="10" t="s">
        <v>250</v>
      </c>
      <c r="C38" s="11" t="s">
        <v>251</v>
      </c>
      <c r="D38" s="10" t="s">
        <v>398</v>
      </c>
      <c r="E38" s="10" t="n">
        <f aca="false">LEN(D38)</f>
        <v>59</v>
      </c>
      <c r="F38" s="12" t="n">
        <f aca="false">(LEN(D38)-LEN(SUBSTITUTE(D38,"Virtualsphere","")))/LEN("Virtualsphere")</f>
        <v>1</v>
      </c>
      <c r="G38" s="12" t="str">
        <f aca="false">IF(E38&gt;60,"Too long",IF(E38&lt;30,"Too short","OK"))</f>
        <v>OK</v>
      </c>
      <c r="H38" s="10" t="str">
        <f aca="false">IF(COUNTIF($D$2:$D$50,D38)&gt;1,"Duplicate","Unique")</f>
        <v>Unique</v>
      </c>
      <c r="I38" s="10" t="n">
        <f aca="false">COUNTIF(Issues!$E$2:$E$74,C38)</f>
        <v>1</v>
      </c>
      <c r="J38" s="10" t="n">
        <f aca="false">COUNTIFS(Issues!$E$2:$E$74,C38,Issues!$M$2:$M$74,"&lt;&gt;Fixed",Issues!$M$2:$M$74,"&lt;&gt;Verified")</f>
        <v>1</v>
      </c>
      <c r="K38" s="10" t="str">
        <f aca="false">IF(J38&gt;0,"Needs fix","OK")</f>
        <v>Needs fix</v>
      </c>
    </row>
    <row r="39" customFormat="false" ht="15" hidden="false" customHeight="false" outlineLevel="0" collapsed="false">
      <c r="A39" s="10" t="s">
        <v>134</v>
      </c>
      <c r="B39" s="10" t="s">
        <v>177</v>
      </c>
      <c r="C39" s="11" t="s">
        <v>178</v>
      </c>
      <c r="D39" s="10" t="s">
        <v>179</v>
      </c>
      <c r="E39" s="10" t="n">
        <f aca="false">LEN(D39)</f>
        <v>69</v>
      </c>
      <c r="F39" s="12" t="n">
        <f aca="false">(LEN(D39)-LEN(SUBSTITUTE(D39,"Virtualsphere","")))/LEN("Virtualsphere")</f>
        <v>2</v>
      </c>
      <c r="G39" s="12" t="str">
        <f aca="false">IF(E39&gt;60,"Too long",IF(E39&lt;30,"Too short","OK"))</f>
        <v>Too long</v>
      </c>
      <c r="H39" s="10" t="str">
        <f aca="false">IF(COUNTIF($D$2:$D$50,D39)&gt;1,"Duplicate","Unique")</f>
        <v>Unique</v>
      </c>
      <c r="I39" s="10" t="n">
        <f aca="false">COUNTIF(Issues!$E$2:$E$74,C39)</f>
        <v>1</v>
      </c>
      <c r="J39" s="10" t="n">
        <f aca="false">COUNTIFS(Issues!$E$2:$E$74,C39,Issues!$M$2:$M$74,"&lt;&gt;Fixed",Issues!$M$2:$M$74,"&lt;&gt;Verified")</f>
        <v>1</v>
      </c>
      <c r="K39" s="10" t="str">
        <f aca="false">IF(J39&gt;0,"Needs fix","OK")</f>
        <v>Needs fix</v>
      </c>
    </row>
    <row r="40" customFormat="false" ht="15" hidden="false" customHeight="false" outlineLevel="0" collapsed="false">
      <c r="A40" s="10" t="s">
        <v>134</v>
      </c>
      <c r="B40" s="10" t="s">
        <v>341</v>
      </c>
      <c r="C40" s="11" t="s">
        <v>342</v>
      </c>
      <c r="D40" s="10" t="s">
        <v>343</v>
      </c>
      <c r="E40" s="10" t="n">
        <f aca="false">LEN(D40)</f>
        <v>65</v>
      </c>
      <c r="F40" s="12" t="n">
        <f aca="false">(LEN(D40)-LEN(SUBSTITUTE(D40,"Virtualsphere","")))/LEN("Virtualsphere")</f>
        <v>1</v>
      </c>
      <c r="G40" s="12" t="str">
        <f aca="false">IF(E40&gt;60,"Too long",IF(E40&lt;30,"Too short","OK"))</f>
        <v>Too long</v>
      </c>
      <c r="H40" s="10" t="str">
        <f aca="false">IF(COUNTIF($D$2:$D$50,D40)&gt;1,"Duplicate","Unique")</f>
        <v>Unique</v>
      </c>
      <c r="I40" s="10" t="n">
        <f aca="false">COUNTIF(Issues!$E$2:$E$74,C40)</f>
        <v>1</v>
      </c>
      <c r="J40" s="10" t="n">
        <f aca="false">COUNTIFS(Issues!$E$2:$E$74,C40,Issues!$M$2:$M$74,"&lt;&gt;Fixed",Issues!$M$2:$M$74,"&lt;&gt;Verified")</f>
        <v>1</v>
      </c>
      <c r="K40" s="10" t="str">
        <f aca="false">IF(J40&gt;0,"Needs fix","OK")</f>
        <v>Needs fix</v>
      </c>
    </row>
    <row r="41" customFormat="false" ht="15" hidden="false" customHeight="false" outlineLevel="0" collapsed="false">
      <c r="A41" s="10" t="s">
        <v>134</v>
      </c>
      <c r="B41" s="10" t="s">
        <v>275</v>
      </c>
      <c r="C41" s="11" t="s">
        <v>276</v>
      </c>
      <c r="D41" s="10" t="s">
        <v>362</v>
      </c>
      <c r="E41" s="10" t="n">
        <f aca="false">LEN(D41)</f>
        <v>46</v>
      </c>
      <c r="F41" s="12" t="n">
        <f aca="false">(LEN(D41)-LEN(SUBSTITUTE(D41,"Virtualsphere","")))/LEN("Virtualsphere")</f>
        <v>1</v>
      </c>
      <c r="G41" s="12" t="str">
        <f aca="false">IF(E41&gt;60,"Too long",IF(E41&lt;30,"Too short","OK"))</f>
        <v>OK</v>
      </c>
      <c r="H41" s="10" t="str">
        <f aca="false">IF(COUNTIF($D$2:$D$50,D41)&gt;1,"Duplicate","Unique")</f>
        <v>Unique</v>
      </c>
      <c r="I41" s="10" t="n">
        <f aca="false">COUNTIF(Issues!$E$2:$E$74,C41)</f>
        <v>2</v>
      </c>
      <c r="J41" s="10" t="n">
        <f aca="false">COUNTIFS(Issues!$E$2:$E$74,C41,Issues!$M$2:$M$74,"&lt;&gt;Fixed",Issues!$M$2:$M$74,"&lt;&gt;Verified")</f>
        <v>2</v>
      </c>
      <c r="K41" s="10" t="str">
        <f aca="false">IF(J41&gt;0,"Needs fix","OK")</f>
        <v>Needs fix</v>
      </c>
    </row>
    <row r="42" customFormat="false" ht="15" hidden="false" customHeight="false" outlineLevel="0" collapsed="false">
      <c r="A42" s="10" t="s">
        <v>134</v>
      </c>
      <c r="B42" s="10" t="s">
        <v>182</v>
      </c>
      <c r="C42" s="11" t="s">
        <v>183</v>
      </c>
      <c r="D42" s="10" t="s">
        <v>184</v>
      </c>
      <c r="E42" s="10" t="n">
        <f aca="false">LEN(D42)</f>
        <v>71</v>
      </c>
      <c r="F42" s="12" t="n">
        <f aca="false">(LEN(D42)-LEN(SUBSTITUTE(D42,"Virtualsphere","")))/LEN("Virtualsphere")</f>
        <v>2</v>
      </c>
      <c r="G42" s="12" t="str">
        <f aca="false">IF(E42&gt;60,"Too long",IF(E42&lt;30,"Too short","OK"))</f>
        <v>Too long</v>
      </c>
      <c r="H42" s="10" t="str">
        <f aca="false">IF(COUNTIF($D$2:$D$50,D42)&gt;1,"Duplicate","Unique")</f>
        <v>Unique</v>
      </c>
      <c r="I42" s="10" t="n">
        <f aca="false">COUNTIF(Issues!$E$2:$E$74,C42)</f>
        <v>1</v>
      </c>
      <c r="J42" s="10" t="n">
        <f aca="false">COUNTIFS(Issues!$E$2:$E$74,C42,Issues!$M$2:$M$74,"&lt;&gt;Fixed",Issues!$M$2:$M$74,"&lt;&gt;Verified")</f>
        <v>1</v>
      </c>
      <c r="K42" s="10" t="str">
        <f aca="false">IF(J42&gt;0,"Needs fix","OK")</f>
        <v>Needs fix</v>
      </c>
    </row>
    <row r="43" customFormat="false" ht="15" hidden="false" customHeight="false" outlineLevel="0" collapsed="false">
      <c r="A43" s="10" t="s">
        <v>134</v>
      </c>
      <c r="B43" s="10" t="s">
        <v>346</v>
      </c>
      <c r="C43" s="11" t="s">
        <v>347</v>
      </c>
      <c r="D43" s="10" t="s">
        <v>348</v>
      </c>
      <c r="E43" s="10" t="n">
        <f aca="false">LEN(D43)</f>
        <v>73</v>
      </c>
      <c r="F43" s="12" t="n">
        <f aca="false">(LEN(D43)-LEN(SUBSTITUTE(D43,"Virtualsphere","")))/LEN("Virtualsphere")</f>
        <v>1</v>
      </c>
      <c r="G43" s="12" t="str">
        <f aca="false">IF(E43&gt;60,"Too long",IF(E43&lt;30,"Too short","OK"))</f>
        <v>Too long</v>
      </c>
      <c r="H43" s="10" t="str">
        <f aca="false">IF(COUNTIF($D$2:$D$50,D43)&gt;1,"Duplicate","Unique")</f>
        <v>Unique</v>
      </c>
      <c r="I43" s="10" t="n">
        <f aca="false">COUNTIF(Issues!$E$2:$E$74,C43)</f>
        <v>1</v>
      </c>
      <c r="J43" s="10" t="n">
        <f aca="false">COUNTIFS(Issues!$E$2:$E$74,C43,Issues!$M$2:$M$74,"&lt;&gt;Fixed",Issues!$M$2:$M$74,"&lt;&gt;Verified")</f>
        <v>1</v>
      </c>
      <c r="K43" s="10" t="str">
        <f aca="false">IF(J43&gt;0,"Needs fix","OK")</f>
        <v>Needs fix</v>
      </c>
    </row>
    <row r="44" customFormat="false" ht="15" hidden="false" customHeight="false" outlineLevel="0" collapsed="false">
      <c r="A44" s="10" t="s">
        <v>134</v>
      </c>
      <c r="B44" s="10" t="s">
        <v>187</v>
      </c>
      <c r="C44" s="11" t="s">
        <v>188</v>
      </c>
      <c r="D44" s="10" t="s">
        <v>189</v>
      </c>
      <c r="E44" s="10" t="n">
        <f aca="false">LEN(D44)</f>
        <v>77</v>
      </c>
      <c r="F44" s="12" t="n">
        <f aca="false">(LEN(D44)-LEN(SUBSTITUTE(D44,"Virtualsphere","")))/LEN("Virtualsphere")</f>
        <v>2</v>
      </c>
      <c r="G44" s="12" t="str">
        <f aca="false">IF(E44&gt;60,"Too long",IF(E44&lt;30,"Too short","OK"))</f>
        <v>Too long</v>
      </c>
      <c r="H44" s="10" t="str">
        <f aca="false">IF(COUNTIF($D$2:$D$50,D44)&gt;1,"Duplicate","Unique")</f>
        <v>Unique</v>
      </c>
      <c r="I44" s="10" t="n">
        <f aca="false">COUNTIF(Issues!$E$2:$E$74,C44)</f>
        <v>2</v>
      </c>
      <c r="J44" s="10" t="n">
        <f aca="false">COUNTIFS(Issues!$E$2:$E$74,C44,Issues!$M$2:$M$74,"&lt;&gt;Fixed",Issues!$M$2:$M$74,"&lt;&gt;Verified")</f>
        <v>2</v>
      </c>
      <c r="K44" s="10" t="str">
        <f aca="false">IF(J44&gt;0,"Needs fix","OK")</f>
        <v>Needs fix</v>
      </c>
    </row>
    <row r="45" customFormat="false" ht="15" hidden="false" customHeight="false" outlineLevel="0" collapsed="false">
      <c r="A45" s="10" t="s">
        <v>134</v>
      </c>
      <c r="B45" s="10" t="s">
        <v>265</v>
      </c>
      <c r="C45" s="11" t="s">
        <v>266</v>
      </c>
      <c r="D45" s="10" t="s">
        <v>374</v>
      </c>
      <c r="E45" s="10" t="n">
        <f aca="false">LEN(D45)</f>
        <v>44</v>
      </c>
      <c r="F45" s="12" t="n">
        <f aca="false">(LEN(D45)-LEN(SUBSTITUTE(D45,"Virtualsphere","")))/LEN("Virtualsphere")</f>
        <v>1</v>
      </c>
      <c r="G45" s="12" t="str">
        <f aca="false">IF(E45&gt;60,"Too long",IF(E45&lt;30,"Too short","OK"))</f>
        <v>OK</v>
      </c>
      <c r="H45" s="10" t="str">
        <f aca="false">IF(COUNTIF($D$2:$D$50,D45)&gt;1,"Duplicate","Unique")</f>
        <v>Unique</v>
      </c>
      <c r="I45" s="10" t="n">
        <f aca="false">COUNTIF(Issues!$E$2:$E$74,C45)</f>
        <v>2</v>
      </c>
      <c r="J45" s="10" t="n">
        <f aca="false">COUNTIFS(Issues!$E$2:$E$74,C45,Issues!$M$2:$M$74,"&lt;&gt;Fixed",Issues!$M$2:$M$74,"&lt;&gt;Verified")</f>
        <v>2</v>
      </c>
      <c r="K45" s="10" t="str">
        <f aca="false">IF(J45&gt;0,"Needs fix","OK")</f>
        <v>Needs fix</v>
      </c>
    </row>
    <row r="46" customFormat="false" ht="15" hidden="false" customHeight="false" outlineLevel="0" collapsed="false">
      <c r="A46" s="10" t="s">
        <v>134</v>
      </c>
      <c r="B46" s="10" t="s">
        <v>270</v>
      </c>
      <c r="C46" s="11" t="s">
        <v>271</v>
      </c>
      <c r="D46" s="10" t="s">
        <v>378</v>
      </c>
      <c r="E46" s="10" t="n">
        <f aca="false">LEN(D46)</f>
        <v>48</v>
      </c>
      <c r="F46" s="12" t="n">
        <f aca="false">(LEN(D46)-LEN(SUBSTITUTE(D46,"Virtualsphere","")))/LEN("Virtualsphere")</f>
        <v>1</v>
      </c>
      <c r="G46" s="12" t="str">
        <f aca="false">IF(E46&gt;60,"Too long",IF(E46&lt;30,"Too short","OK"))</f>
        <v>OK</v>
      </c>
      <c r="H46" s="10" t="str">
        <f aca="false">IF(COUNTIF($D$2:$D$50,D46)&gt;1,"Duplicate","Unique")</f>
        <v>Unique</v>
      </c>
      <c r="I46" s="10" t="n">
        <f aca="false">COUNTIF(Issues!$E$2:$E$74,C46)</f>
        <v>2</v>
      </c>
      <c r="J46" s="10" t="n">
        <f aca="false">COUNTIFS(Issues!$E$2:$E$74,C46,Issues!$M$2:$M$74,"&lt;&gt;Fixed",Issues!$M$2:$M$74,"&lt;&gt;Verified")</f>
        <v>2</v>
      </c>
      <c r="K46" s="10" t="str">
        <f aca="false">IF(J46&gt;0,"Needs fix","OK")</f>
        <v>Needs fix</v>
      </c>
    </row>
    <row r="47" customFormat="false" ht="15" hidden="false" customHeight="false" outlineLevel="0" collapsed="false">
      <c r="A47" s="10" t="s">
        <v>134</v>
      </c>
      <c r="B47" s="10" t="s">
        <v>192</v>
      </c>
      <c r="C47" s="11" t="s">
        <v>193</v>
      </c>
      <c r="D47" s="10" t="s">
        <v>194</v>
      </c>
      <c r="E47" s="10" t="n">
        <f aca="false">LEN(D47)</f>
        <v>82</v>
      </c>
      <c r="F47" s="12" t="n">
        <f aca="false">(LEN(D47)-LEN(SUBSTITUTE(D47,"Virtualsphere","")))/LEN("Virtualsphere")</f>
        <v>2</v>
      </c>
      <c r="G47" s="12" t="str">
        <f aca="false">IF(E47&gt;60,"Too long",IF(E47&lt;30,"Too short","OK"))</f>
        <v>Too long</v>
      </c>
      <c r="H47" s="10" t="str">
        <f aca="false">IF(COUNTIF($D$2:$D$50,D47)&gt;1,"Duplicate","Unique")</f>
        <v>Unique</v>
      </c>
      <c r="I47" s="10" t="n">
        <f aca="false">COUNTIF(Issues!$E$2:$E$74,C47)</f>
        <v>2</v>
      </c>
      <c r="J47" s="10" t="n">
        <f aca="false">COUNTIFS(Issues!$E$2:$E$74,C47,Issues!$M$2:$M$74,"&lt;&gt;Fixed",Issues!$M$2:$M$74,"&lt;&gt;Verified")</f>
        <v>2</v>
      </c>
      <c r="K47" s="10" t="str">
        <f aca="false">IF(J47&gt;0,"Needs fix","OK")</f>
        <v>Needs fix</v>
      </c>
    </row>
    <row r="48" customFormat="false" ht="15" hidden="false" customHeight="false" outlineLevel="0" collapsed="false">
      <c r="A48" s="10" t="s">
        <v>134</v>
      </c>
      <c r="B48" s="10" t="s">
        <v>351</v>
      </c>
      <c r="C48" s="11" t="s">
        <v>352</v>
      </c>
      <c r="D48" s="10" t="s">
        <v>353</v>
      </c>
      <c r="E48" s="10" t="n">
        <f aca="false">LEN(D48)</f>
        <v>68</v>
      </c>
      <c r="F48" s="12" t="n">
        <f aca="false">(LEN(D48)-LEN(SUBSTITUTE(D48,"Virtualsphere","")))/LEN("Virtualsphere")</f>
        <v>1</v>
      </c>
      <c r="G48" s="12" t="str">
        <f aca="false">IF(E48&gt;60,"Too long",IF(E48&lt;30,"Too short","OK"))</f>
        <v>Too long</v>
      </c>
      <c r="H48" s="10" t="str">
        <f aca="false">IF(COUNTIF($D$2:$D$50,D48)&gt;1,"Duplicate","Unique")</f>
        <v>Unique</v>
      </c>
      <c r="I48" s="10" t="n">
        <f aca="false">COUNTIF(Issues!$E$2:$E$74,C48)</f>
        <v>1</v>
      </c>
      <c r="J48" s="10" t="n">
        <f aca="false">COUNTIFS(Issues!$E$2:$E$74,C48,Issues!$M$2:$M$74,"&lt;&gt;Fixed",Issues!$M$2:$M$74,"&lt;&gt;Verified")</f>
        <v>1</v>
      </c>
      <c r="K48" s="10" t="str">
        <f aca="false">IF(J48&gt;0,"Needs fix","OK")</f>
        <v>Needs fix</v>
      </c>
    </row>
    <row r="49" customFormat="false" ht="15" hidden="false" customHeight="false" outlineLevel="0" collapsed="false">
      <c r="A49" s="10" t="s">
        <v>134</v>
      </c>
      <c r="B49" s="10" t="s">
        <v>399</v>
      </c>
      <c r="C49" s="11" t="s">
        <v>400</v>
      </c>
      <c r="D49" s="10" t="s">
        <v>401</v>
      </c>
      <c r="E49" s="10" t="n">
        <f aca="false">LEN(D49)</f>
        <v>48</v>
      </c>
      <c r="F49" s="12" t="n">
        <f aca="false">(LEN(D49)-LEN(SUBSTITUTE(D49,"Virtualsphere","")))/LEN("Virtualsphere")</f>
        <v>1</v>
      </c>
      <c r="G49" s="12" t="str">
        <f aca="false">IF(E49&gt;60,"Too long",IF(E49&lt;30,"Too short","OK"))</f>
        <v>OK</v>
      </c>
      <c r="H49" s="10" t="str">
        <f aca="false">IF(COUNTIF($D$2:$D$50,D49)&gt;1,"Duplicate","Unique")</f>
        <v>Unique</v>
      </c>
      <c r="I49" s="10" t="n">
        <f aca="false">COUNTIF(Issues!$E$2:$E$74,C49)</f>
        <v>0</v>
      </c>
      <c r="J49" s="10" t="n">
        <f aca="false">COUNTIFS(Issues!$E$2:$E$74,C49,Issues!$M$2:$M$74,"&lt;&gt;Fixed",Issues!$M$2:$M$74,"&lt;&gt;Verified")</f>
        <v>0</v>
      </c>
      <c r="K49" s="10" t="str">
        <f aca="false">IF(J49&gt;0,"Needs fix","OK")</f>
        <v>OK</v>
      </c>
    </row>
    <row r="50" customFormat="false" ht="15" hidden="false" customHeight="false" outlineLevel="0" collapsed="false">
      <c r="A50" s="10" t="s">
        <v>134</v>
      </c>
      <c r="B50" s="10" t="s">
        <v>356</v>
      </c>
      <c r="C50" s="11" t="s">
        <v>357</v>
      </c>
      <c r="D50" s="10" t="s">
        <v>358</v>
      </c>
      <c r="E50" s="10" t="n">
        <f aca="false">LEN(D50)</f>
        <v>69</v>
      </c>
      <c r="F50" s="12" t="n">
        <f aca="false">(LEN(D50)-LEN(SUBSTITUTE(D50,"Virtualsphere","")))/LEN("Virtualsphere")</f>
        <v>1</v>
      </c>
      <c r="G50" s="12" t="str">
        <f aca="false">IF(E50&gt;60,"Too long",IF(E50&lt;30,"Too short","OK"))</f>
        <v>Too long</v>
      </c>
      <c r="H50" s="10" t="str">
        <f aca="false">IF(COUNTIF($D$2:$D$50,D50)&gt;1,"Duplicate","Unique")</f>
        <v>Unique</v>
      </c>
      <c r="I50" s="10" t="n">
        <f aca="false">COUNTIF(Issues!$E$2:$E$74,C50)</f>
        <v>1</v>
      </c>
      <c r="J50" s="10" t="n">
        <f aca="false">COUNTIFS(Issues!$E$2:$E$74,C50,Issues!$M$2:$M$74,"&lt;&gt;Fixed",Issues!$M$2:$M$74,"&lt;&gt;Verified")</f>
        <v>1</v>
      </c>
      <c r="K50" s="10" t="str">
        <f aca="false">IF(J50&gt;0,"Needs fix","OK")</f>
        <v>Needs fix</v>
      </c>
    </row>
  </sheetData>
  <autoFilter ref="A1:K50"/>
  <conditionalFormatting sqref="K2:K50">
    <cfRule type="cellIs" priority="2" operator="equal" aboveAverage="0" equalAverage="0" bottom="0" percent="0" rank="0" text="" dxfId="8">
      <formula>"Needs fix"</formula>
    </cfRule>
    <cfRule type="cellIs" priority="3" operator="equal" aboveAverage="0" equalAverage="0" bottom="0" percent="0" rank="0" text="" dxfId="10">
      <formula>"OK"</formula>
    </cfRule>
  </conditionalFormatting>
  <conditionalFormatting sqref="G2:G50">
    <cfRule type="cellIs" priority="4" operator="equal" aboveAverage="0" equalAverage="0" bottom="0" percent="0" rank="0" text="" dxfId="9">
      <formula>"Too long"</formula>
    </cfRule>
  </conditionalFormatting>
  <conditionalFormatting sqref="H2:H50">
    <cfRule type="cellIs" priority="5" operator="equal" aboveAverage="0" equalAverage="0" bottom="0" percent="0" rank="0" text="" dxfId="8">
      <formula>"Duplicate"</formula>
    </cfRule>
  </conditionalFormatting>
  <conditionalFormatting sqref="F2:F50">
    <cfRule type="cellIs" priority="6" operator="greaterThan" aboveAverage="0" equalAverage="0" bottom="0" percent="0" rank="0" text="" dxfId="8">
      <formula>1</formula>
    </cfRule>
  </conditionalFormatting>
  <hyperlinks>
    <hyperlink ref="C2" r:id="rId1" display="https://indiarfidshop.com/"/>
    <hyperlink ref="C3" r:id="rId2" display="https://indiarfidshop.com/products"/>
    <hyperlink ref="C4" r:id="rId3" display="https://indiarfidshop.com/categories"/>
    <hyperlink ref="C5" r:id="rId4" display="https://indiarfidshop.com/about"/>
    <hyperlink ref="C6" r:id="rId5" display="https://indiarfidshop.com/contact"/>
    <hyperlink ref="C7" r:id="rId6" display="https://indiarfidshop.com/privacy"/>
    <hyperlink ref="C8" r:id="rId7" display="https://indiarfidshop.com/terms"/>
    <hyperlink ref="C9" r:id="rId8" display="https://indiarfidshop.com/products?category=barcode-printers"/>
    <hyperlink ref="C10" r:id="rId9" display="https://indiarfidshop.com/products?category=integrated-reader"/>
    <hyperlink ref="C11" r:id="rId10" display="https://indiarfidshop.com/products?category=four-port-reader"/>
    <hyperlink ref="C12" r:id="rId11" display="https://indiarfidshop.com/products?category=raid-tags"/>
    <hyperlink ref="C13" r:id="rId12" display="https://indiarfidshop.com/products?category=Rfid-uhf-label-tags"/>
    <hyperlink ref="C14" r:id="rId13" display="https://indiarfidshop.com/products?category=rfid-laundary-tags"/>
    <hyperlink ref="C15" r:id="rId14" display="https://indiarfidshop.com/products?category=rfid-uhf-inlay"/>
    <hyperlink ref="C16" r:id="rId15" display="https://indiarfidshop.com/products?category=uhf-rfid-tags"/>
    <hyperlink ref="C17" r:id="rId16" display="https://indiarfidshop.com/products?category=rfid-uhf-antenna"/>
    <hyperlink ref="C18" r:id="rId17" display="https://indiarfidshop.com/products?category=handheld-reader"/>
    <hyperlink ref="C19" r:id="rId18" display="https://indiarfidshop.com/products?category=uhf-desktop-reader"/>
    <hyperlink ref="C20" r:id="rId19" display="https://indiarfidshop.com/products?category=hf-rfid-desktop-reader"/>
    <hyperlink ref="C21" r:id="rId20" display="https://indiarfidshop.com/products?category=rfid-lf-and-hf-pendrive-reader"/>
    <hyperlink ref="C22" r:id="rId21" display="https://indiarfidshop.com/products/desktop-barcode-printer"/>
    <hyperlink ref="C23" r:id="rId22" display="https://indiarfidshop.com/products/hrd-13"/>
    <hyperlink ref="C24" r:id="rId23" display="https://indiarfidshop.com/products/lrp-70-pendrive-reader"/>
    <hyperlink ref="C25" r:id="rId24" display="https://indiarfidshop.com/products/ua9"/>
    <hyperlink ref="C26" r:id="rId25" display="https://indiarfidshop.com/products/uca3"/>
    <hyperlink ref="C27" r:id="rId26" display="https://indiarfidshop.com/products/udr-w105-uhf-rfid-desktop-reader-writer"/>
    <hyperlink ref="C28" r:id="rId27" display="https://indiarfidshop.com/products/udr-w101-uhf-rfid-desktop-reader-writer"/>
    <hyperlink ref="C29" r:id="rId28" display="https://indiarfidshop.com/products/udt9r-rfid-jewellery-tray-reader"/>
    <hyperlink ref="C30" r:id="rId29" display="https://indiarfidshop.com/products/RFID-Cable-Tie-uhf-Tags"/>
    <hyperlink ref="C31" r:id="rId30" display="https://indiarfidshop.com/products/RFID-silicon-tags-UHF-laundary-tags"/>
    <hyperlink ref="C32" r:id="rId31" display="https://indiarfidshop.com/products/udm9r-Integrated-reader"/>
    <hyperlink ref="C33" r:id="rId32" display="https://indiarfidshop.com/products/udr-102"/>
    <hyperlink ref="C34" r:id="rId33" display="https://indiarfidshop.com/products/uhr-72"/>
    <hyperlink ref="C35" r:id="rId34" display="https://indiarfidshop.com/products/uhr2-uhf-rfid-handheld-reader"/>
    <hyperlink ref="C36" r:id="rId35" display="https://indiarfidshop.com/products/RFID-Ferric-100-Metal-UHF-Tags"/>
    <hyperlink ref="C37" r:id="rId36" display="https://indiarfidshop.com/products/vsl-a1"/>
    <hyperlink ref="C38" r:id="rId37" display="https://indiarfidshop.com/products/vsl-f2-uhf-rfid-4-port-reader"/>
    <hyperlink ref="C39" r:id="rId38" display="https://indiarfidshop.com/products/vst-9662-rfid-uhf-inlay-higgs-3"/>
    <hyperlink ref="C40" r:id="rId39" display="https://indiarfidshop.com/products/vst-9662-rfid-uhf-labels"/>
    <hyperlink ref="C41" r:id="rId40" display="https://indiarfidshop.com/products/hrp-70-pendrive-reader"/>
    <hyperlink ref="C42" r:id="rId41" display="https://indiarfidshop.com/products/pbr3-bluetooth-uhf-rfid-portable-reader"/>
    <hyperlink ref="C43" r:id="rId42" display="https://indiarfidshop.com/products/RFID-Laundry-Textile-Tags"/>
    <hyperlink ref="C44" r:id="rId43" display="https://indiarfidshop.com/products/ua12"/>
    <hyperlink ref="C45" r:id="rId44" display="https://indiarfidshop.com/products/udm12r-uhf-Integrated-reader"/>
    <hyperlink ref="C46" r:id="rId45" display="https://indiarfidshop.com/products/udr-107"/>
    <hyperlink ref="C47" r:id="rId46" display="https://indiarfidshop.com/products/uhr-5"/>
    <hyperlink ref="C48" r:id="rId47" display="https://indiarfidshop.com/products/vst-9640-rfid-uhf-inlays"/>
    <hyperlink ref="C49" r:id="rId48" display="https://indiarfidshop.com/products/acs112u"/>
    <hyperlink ref="C50" r:id="rId49" display="https://indiarfidshop.com/products/dogbone-rfid-uhf-inlay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95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9" t="s">
        <v>402</v>
      </c>
      <c r="B1" s="9" t="s">
        <v>403</v>
      </c>
      <c r="C1" s="9" t="s">
        <v>404</v>
      </c>
      <c r="D1" s="9" t="s">
        <v>405</v>
      </c>
    </row>
    <row r="2" customFormat="false" ht="147.75" hidden="false" customHeight="false" outlineLevel="0" collapsed="false">
      <c r="A2" s="10" t="s">
        <v>406</v>
      </c>
      <c r="B2" s="10" t="s">
        <v>407</v>
      </c>
      <c r="C2" s="14" t="s">
        <v>408</v>
      </c>
      <c r="D2" s="10" t="s">
        <v>409</v>
      </c>
    </row>
    <row r="3" customFormat="false" ht="85.05" hidden="false" customHeight="false" outlineLevel="0" collapsed="false">
      <c r="A3" s="10" t="s">
        <v>410</v>
      </c>
      <c r="B3" s="10" t="s">
        <v>411</v>
      </c>
      <c r="C3" s="14" t="s">
        <v>412</v>
      </c>
      <c r="D3" s="10" t="s">
        <v>413</v>
      </c>
    </row>
    <row r="4" customFormat="false" ht="53.7" hidden="false" customHeight="false" outlineLevel="0" collapsed="false">
      <c r="A4" s="10" t="s">
        <v>414</v>
      </c>
      <c r="B4" s="10" t="s">
        <v>415</v>
      </c>
      <c r="C4" s="14" t="s">
        <v>416</v>
      </c>
      <c r="D4" s="10" t="s">
        <v>417</v>
      </c>
    </row>
    <row r="5" customFormat="false" ht="158.2" hidden="false" customHeight="false" outlineLevel="0" collapsed="false">
      <c r="A5" s="10" t="s">
        <v>418</v>
      </c>
      <c r="B5" s="10" t="s">
        <v>419</v>
      </c>
      <c r="C5" s="14" t="s">
        <v>420</v>
      </c>
      <c r="D5" s="10" t="s">
        <v>421</v>
      </c>
    </row>
    <row r="6" customFormat="false" ht="53.7" hidden="false" customHeight="false" outlineLevel="0" collapsed="false">
      <c r="A6" s="10" t="s">
        <v>422</v>
      </c>
      <c r="B6" s="10" t="s">
        <v>423</v>
      </c>
      <c r="C6" s="14" t="s">
        <v>424</v>
      </c>
      <c r="D6" s="10" t="s">
        <v>425</v>
      </c>
    </row>
    <row r="7" customFormat="false" ht="105.95" hidden="false" customHeight="false" outlineLevel="0" collapsed="false">
      <c r="A7" s="10" t="s">
        <v>426</v>
      </c>
      <c r="B7" s="10" t="s">
        <v>427</v>
      </c>
      <c r="C7" s="14" t="s">
        <v>428</v>
      </c>
      <c r="D7" s="10" t="s">
        <v>23</v>
      </c>
    </row>
    <row r="8" customFormat="false" ht="64.15" hidden="false" customHeight="false" outlineLevel="0" collapsed="false">
      <c r="A8" s="10" t="s">
        <v>429</v>
      </c>
      <c r="B8" s="10" t="s">
        <v>430</v>
      </c>
      <c r="C8" s="14" t="s">
        <v>431</v>
      </c>
      <c r="D8" s="10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2026-10-07T10:48:40Z</dcterms:created>
  <dc:creator>openpyxl</dc:creator>
  <dc:description/>
  <dc:language>en-US</dc:language>
  <cp:lastModifiedBy/>
  <dcterms:modified xsi:type="dcterms:W3CDTF">2026-10-07T10:48:40Z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